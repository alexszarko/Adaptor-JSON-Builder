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s\PycharmProjects\Adaptor-JSON-Builder\"/>
    </mc:Choice>
  </mc:AlternateContent>
  <xr:revisionPtr revIDLastSave="0" documentId="13_ncr:1_{83752016-875E-49B1-A21F-7A6AEA5764DC}" xr6:coauthVersionLast="47" xr6:coauthVersionMax="47" xr10:uidLastSave="{00000000-0000-0000-0000-000000000000}"/>
  <bookViews>
    <workbookView xWindow="28680" yWindow="-120" windowWidth="29040" windowHeight="15720" firstSheet="1" activeTab="4" xr2:uid="{44F630DB-98DB-4EE6-BC54-201C45B31472}"/>
  </bookViews>
  <sheets>
    <sheet name="Org Setup" sheetId="1" r:id="rId1"/>
    <sheet name="MPAN Data" sheetId="5" r:id="rId2"/>
    <sheet name="MPRN Data" sheetId="7" r:id="rId3"/>
    <sheet name="URLs" sheetId="6" r:id="rId4"/>
    <sheet name="Registration Data Template" sheetId="8" r:id="rId5"/>
    <sheet name="Org Cert Template" sheetId="9" r:id="rId6"/>
  </sheets>
  <definedNames>
    <definedName name="_xlnm._FilterDatabase" localSheetId="1" hidden="1">'MPAN Data'!$A$1:$M$411</definedName>
    <definedName name="_xlnm._FilterDatabase" localSheetId="2" hidden="1">'MPRN Data'!$A$1:$H$211</definedName>
    <definedName name="_xlnm._FilterDatabase" localSheetId="0" hidden="1">'Org Setup'!$A$1:$Q$257</definedName>
    <definedName name="_xlnm._FilterDatabase" localSheetId="4" hidden="1">'Registration Data Template'!$A$1:$E$257</definedName>
    <definedName name="_xlnm._FilterDatabase" localSheetId="3" hidden="1">URLs!$B$1:$H$57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" i="8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" i="7"/>
  <c r="E94" i="7"/>
  <c r="F94" i="7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2" i="5"/>
  <c r="E404" i="5"/>
  <c r="F105" i="7"/>
  <c r="F104" i="7"/>
  <c r="F102" i="7"/>
  <c r="F103" i="7"/>
  <c r="F107" i="7"/>
  <c r="F5" i="7"/>
  <c r="F4" i="7"/>
  <c r="F3" i="7"/>
  <c r="F120" i="7"/>
  <c r="F123" i="7"/>
  <c r="F133" i="7"/>
  <c r="F179" i="7"/>
  <c r="F177" i="7"/>
  <c r="F173" i="7"/>
  <c r="F172" i="7"/>
  <c r="F70" i="7"/>
  <c r="F92" i="7"/>
  <c r="F91" i="7"/>
  <c r="F84" i="7"/>
  <c r="F82" i="7"/>
  <c r="F137" i="7"/>
  <c r="F113" i="7"/>
  <c r="F134" i="7"/>
  <c r="F142" i="7"/>
  <c r="F129" i="7"/>
  <c r="F128" i="7"/>
  <c r="F130" i="7"/>
  <c r="F138" i="7"/>
  <c r="F136" i="7"/>
  <c r="F121" i="7"/>
  <c r="F122" i="7"/>
  <c r="F141" i="7"/>
  <c r="F144" i="7"/>
  <c r="F146" i="7"/>
  <c r="F155" i="7"/>
  <c r="F157" i="7"/>
  <c r="F153" i="7"/>
  <c r="F147" i="7"/>
  <c r="F158" i="7"/>
  <c r="F148" i="7"/>
  <c r="F152" i="7"/>
  <c r="F154" i="7"/>
  <c r="F181" i="7"/>
  <c r="F139" i="7"/>
  <c r="F156" i="7"/>
  <c r="F143" i="7"/>
  <c r="F190" i="7"/>
  <c r="F145" i="7"/>
  <c r="F118" i="7"/>
  <c r="F131" i="7"/>
  <c r="F119" i="7"/>
  <c r="F115" i="7"/>
  <c r="F117" i="7"/>
  <c r="F140" i="7"/>
  <c r="F127" i="7"/>
  <c r="F114" i="7"/>
  <c r="F124" i="7"/>
  <c r="F132" i="7"/>
  <c r="F116" i="7"/>
  <c r="F151" i="7"/>
  <c r="F186" i="7"/>
  <c r="F135" i="7"/>
  <c r="F150" i="7"/>
  <c r="F149" i="7"/>
  <c r="F112" i="7"/>
  <c r="F126" i="7"/>
  <c r="F125" i="7"/>
  <c r="F24" i="7"/>
  <c r="F23" i="7"/>
  <c r="F22" i="7"/>
  <c r="F21" i="7"/>
  <c r="F20" i="7"/>
  <c r="F19" i="7"/>
  <c r="F15" i="7"/>
  <c r="F18" i="7"/>
  <c r="F17" i="7"/>
  <c r="F16" i="7"/>
  <c r="F11" i="7"/>
  <c r="F14" i="7"/>
  <c r="F13" i="7"/>
  <c r="F12" i="7"/>
  <c r="F10" i="7"/>
  <c r="F9" i="7"/>
  <c r="F8" i="7"/>
  <c r="F7" i="7"/>
  <c r="F6" i="7"/>
  <c r="F28" i="7"/>
  <c r="F27" i="7"/>
  <c r="F26" i="7"/>
  <c r="F48" i="7"/>
  <c r="F47" i="7"/>
  <c r="F46" i="7"/>
  <c r="F45" i="7"/>
  <c r="F44" i="7"/>
  <c r="F31" i="7"/>
  <c r="F30" i="7"/>
  <c r="F29" i="7"/>
  <c r="F2" i="7"/>
  <c r="F42" i="7"/>
  <c r="F41" i="7"/>
  <c r="F40" i="7"/>
  <c r="F39" i="7"/>
  <c r="F38" i="7"/>
  <c r="F37" i="7"/>
  <c r="F36" i="7"/>
  <c r="F35" i="7"/>
  <c r="F25" i="7"/>
  <c r="F34" i="7"/>
  <c r="F33" i="7"/>
  <c r="F32" i="7"/>
  <c r="F52" i="7"/>
  <c r="F55" i="7"/>
  <c r="F54" i="7"/>
  <c r="F53" i="7"/>
  <c r="F51" i="7"/>
  <c r="F50" i="7"/>
  <c r="F49" i="7"/>
  <c r="F180" i="7"/>
  <c r="F178" i="7"/>
  <c r="F176" i="7"/>
  <c r="F174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89" i="7"/>
  <c r="F188" i="7"/>
  <c r="F187" i="7"/>
  <c r="F185" i="7"/>
  <c r="F184" i="7"/>
  <c r="F183" i="7"/>
  <c r="F182" i="7"/>
  <c r="F83" i="7"/>
  <c r="F81" i="7"/>
  <c r="F64" i="7"/>
  <c r="F63" i="7"/>
  <c r="F62" i="7"/>
  <c r="F57" i="7"/>
  <c r="F56" i="7"/>
  <c r="F69" i="7"/>
  <c r="F68" i="7"/>
  <c r="F67" i="7"/>
  <c r="F66" i="7"/>
  <c r="F90" i="7"/>
  <c r="F89" i="7"/>
  <c r="F88" i="7"/>
  <c r="F87" i="7"/>
  <c r="F86" i="7"/>
  <c r="F80" i="7"/>
  <c r="F79" i="7"/>
  <c r="F78" i="7"/>
  <c r="F77" i="7"/>
  <c r="F76" i="7"/>
  <c r="F98" i="7"/>
  <c r="F97" i="7"/>
  <c r="F96" i="7"/>
  <c r="F95" i="7"/>
  <c r="F65" i="7"/>
  <c r="F61" i="7"/>
  <c r="F60" i="7"/>
  <c r="F59" i="7"/>
  <c r="F58" i="7"/>
  <c r="F74" i="7"/>
  <c r="F73" i="7"/>
  <c r="F72" i="7"/>
  <c r="F71" i="7"/>
  <c r="F99" i="7"/>
  <c r="F43" i="7"/>
  <c r="F109" i="7"/>
  <c r="F108" i="7"/>
  <c r="F101" i="7"/>
  <c r="F111" i="7"/>
  <c r="F110" i="7"/>
  <c r="F106" i="7"/>
  <c r="E105" i="7"/>
  <c r="E104" i="7"/>
  <c r="E102" i="7"/>
  <c r="E100" i="7"/>
  <c r="E103" i="7"/>
  <c r="E107" i="7"/>
  <c r="E5" i="7"/>
  <c r="E4" i="7"/>
  <c r="E3" i="7"/>
  <c r="E120" i="7"/>
  <c r="E123" i="7"/>
  <c r="E133" i="7"/>
  <c r="E179" i="7"/>
  <c r="E177" i="7"/>
  <c r="E175" i="7"/>
  <c r="E173" i="7"/>
  <c r="E172" i="7"/>
  <c r="E70" i="7"/>
  <c r="E92" i="7"/>
  <c r="E91" i="7"/>
  <c r="E84" i="7"/>
  <c r="E82" i="7"/>
  <c r="E137" i="7"/>
  <c r="E113" i="7"/>
  <c r="E134" i="7"/>
  <c r="E142" i="7"/>
  <c r="E129" i="7"/>
  <c r="E128" i="7"/>
  <c r="E130" i="7"/>
  <c r="E138" i="7"/>
  <c r="E136" i="7"/>
  <c r="E121" i="7"/>
  <c r="E122" i="7"/>
  <c r="E141" i="7"/>
  <c r="E144" i="7"/>
  <c r="E146" i="7"/>
  <c r="E155" i="7"/>
  <c r="E157" i="7"/>
  <c r="E153" i="7"/>
  <c r="E147" i="7"/>
  <c r="E158" i="7"/>
  <c r="E148" i="7"/>
  <c r="E152" i="7"/>
  <c r="E154" i="7"/>
  <c r="E181" i="7"/>
  <c r="E139" i="7"/>
  <c r="E156" i="7"/>
  <c r="E143" i="7"/>
  <c r="E190" i="7"/>
  <c r="E145" i="7"/>
  <c r="E118" i="7"/>
  <c r="E131" i="7"/>
  <c r="E119" i="7"/>
  <c r="E115" i="7"/>
  <c r="E117" i="7"/>
  <c r="E140" i="7"/>
  <c r="E127" i="7"/>
  <c r="E114" i="7"/>
  <c r="E124" i="7"/>
  <c r="E132" i="7"/>
  <c r="E116" i="7"/>
  <c r="E151" i="7"/>
  <c r="E186" i="7"/>
  <c r="E135" i="7"/>
  <c r="E150" i="7"/>
  <c r="E149" i="7"/>
  <c r="E112" i="7"/>
  <c r="E126" i="7"/>
  <c r="E125" i="7"/>
  <c r="E24" i="7"/>
  <c r="E23" i="7"/>
  <c r="E22" i="7"/>
  <c r="E21" i="7"/>
  <c r="E20" i="7"/>
  <c r="E19" i="7"/>
  <c r="E15" i="7"/>
  <c r="E18" i="7"/>
  <c r="E17" i="7"/>
  <c r="E16" i="7"/>
  <c r="E11" i="7"/>
  <c r="E14" i="7"/>
  <c r="E13" i="7"/>
  <c r="E12" i="7"/>
  <c r="E10" i="7"/>
  <c r="E9" i="7"/>
  <c r="E8" i="7"/>
  <c r="E7" i="7"/>
  <c r="E6" i="7"/>
  <c r="E28" i="7"/>
  <c r="E27" i="7"/>
  <c r="E26" i="7"/>
  <c r="E48" i="7"/>
  <c r="E47" i="7"/>
  <c r="E46" i="7"/>
  <c r="E45" i="7"/>
  <c r="E44" i="7"/>
  <c r="E31" i="7"/>
  <c r="E30" i="7"/>
  <c r="E29" i="7"/>
  <c r="E2" i="7"/>
  <c r="E42" i="7"/>
  <c r="E41" i="7"/>
  <c r="E40" i="7"/>
  <c r="E39" i="7"/>
  <c r="E38" i="7"/>
  <c r="E37" i="7"/>
  <c r="E36" i="7"/>
  <c r="E35" i="7"/>
  <c r="E25" i="7"/>
  <c r="E34" i="7"/>
  <c r="E33" i="7"/>
  <c r="E32" i="7"/>
  <c r="E52" i="7"/>
  <c r="E55" i="7"/>
  <c r="E54" i="7"/>
  <c r="E53" i="7"/>
  <c r="E51" i="7"/>
  <c r="E50" i="7"/>
  <c r="E49" i="7"/>
  <c r="E180" i="7"/>
  <c r="E178" i="7"/>
  <c r="E176" i="7"/>
  <c r="E174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89" i="7"/>
  <c r="E188" i="7"/>
  <c r="E187" i="7"/>
  <c r="E185" i="7"/>
  <c r="E184" i="7"/>
  <c r="E183" i="7"/>
  <c r="E182" i="7"/>
  <c r="E75" i="7"/>
  <c r="E93" i="7"/>
  <c r="E85" i="7"/>
  <c r="E83" i="7"/>
  <c r="E81" i="7"/>
  <c r="E64" i="7"/>
  <c r="E63" i="7"/>
  <c r="E62" i="7"/>
  <c r="E57" i="7"/>
  <c r="E56" i="7"/>
  <c r="E69" i="7"/>
  <c r="E68" i="7"/>
  <c r="E67" i="7"/>
  <c r="E66" i="7"/>
  <c r="E90" i="7"/>
  <c r="E89" i="7"/>
  <c r="E88" i="7"/>
  <c r="E87" i="7"/>
  <c r="E86" i="7"/>
  <c r="E80" i="7"/>
  <c r="E79" i="7"/>
  <c r="E78" i="7"/>
  <c r="E77" i="7"/>
  <c r="E76" i="7"/>
  <c r="E98" i="7"/>
  <c r="E97" i="7"/>
  <c r="E96" i="7"/>
  <c r="E95" i="7"/>
  <c r="E65" i="7"/>
  <c r="E61" i="7"/>
  <c r="E60" i="7"/>
  <c r="E59" i="7"/>
  <c r="E58" i="7"/>
  <c r="E74" i="7"/>
  <c r="E73" i="7"/>
  <c r="E72" i="7"/>
  <c r="E71" i="7"/>
  <c r="E99" i="7"/>
  <c r="E43" i="7"/>
  <c r="E109" i="7"/>
  <c r="E108" i="7"/>
  <c r="E101" i="7"/>
  <c r="E111" i="7"/>
  <c r="E110" i="7"/>
  <c r="E106" i="7"/>
  <c r="F402" i="5"/>
  <c r="F406" i="5"/>
  <c r="F405" i="5"/>
  <c r="F407" i="5"/>
  <c r="F411" i="5"/>
  <c r="F408" i="5"/>
  <c r="F410" i="5"/>
  <c r="F409" i="5"/>
  <c r="F208" i="5"/>
  <c r="F221" i="5"/>
  <c r="F29" i="5"/>
  <c r="F31" i="5"/>
  <c r="F199" i="5"/>
  <c r="F190" i="5"/>
  <c r="F182" i="5"/>
  <c r="F191" i="5"/>
  <c r="F235" i="5"/>
  <c r="F301" i="5"/>
  <c r="F329" i="5"/>
  <c r="F289" i="5"/>
  <c r="F260" i="5"/>
  <c r="F328" i="5"/>
  <c r="F309" i="5"/>
  <c r="F333" i="5"/>
  <c r="F332" i="5"/>
  <c r="F302" i="5"/>
  <c r="F237" i="5"/>
  <c r="F318" i="5"/>
  <c r="F331" i="5"/>
  <c r="F211" i="5"/>
  <c r="F305" i="5"/>
  <c r="F311" i="5"/>
  <c r="F205" i="5"/>
  <c r="F326" i="5"/>
  <c r="F246" i="5"/>
  <c r="F313" i="5"/>
  <c r="F248" i="5"/>
  <c r="F230" i="5"/>
  <c r="F321" i="5"/>
  <c r="F272" i="5"/>
  <c r="F312" i="5"/>
  <c r="F306" i="5"/>
  <c r="F234" i="5"/>
  <c r="F308" i="5"/>
  <c r="F266" i="5"/>
  <c r="F263" i="5"/>
  <c r="F228" i="5"/>
  <c r="F261" i="5"/>
  <c r="F298" i="5"/>
  <c r="F291" i="5"/>
  <c r="F227" i="5"/>
  <c r="F292" i="5"/>
  <c r="F256" i="5"/>
  <c r="F294" i="5"/>
  <c r="F295" i="5"/>
  <c r="F274" i="5"/>
  <c r="F285" i="5"/>
  <c r="F322" i="5"/>
  <c r="F254" i="5"/>
  <c r="F299" i="5"/>
  <c r="F316" i="5"/>
  <c r="F269" i="5"/>
  <c r="F270" i="5"/>
  <c r="F257" i="5"/>
  <c r="F280" i="5"/>
  <c r="F258" i="5"/>
  <c r="F46" i="5"/>
  <c r="F45" i="5"/>
  <c r="F47" i="5"/>
  <c r="F48" i="5"/>
  <c r="F44" i="5"/>
  <c r="F51" i="5"/>
  <c r="F129" i="5"/>
  <c r="F76" i="5"/>
  <c r="F171" i="5"/>
  <c r="F156" i="5"/>
  <c r="F102" i="5"/>
  <c r="F89" i="5"/>
  <c r="F52" i="5"/>
  <c r="F107" i="5"/>
  <c r="F123" i="5"/>
  <c r="F81" i="5"/>
  <c r="F168" i="5"/>
  <c r="F99" i="5"/>
  <c r="F131" i="5"/>
  <c r="F108" i="5"/>
  <c r="F170" i="5"/>
  <c r="F165" i="5"/>
  <c r="F109" i="5"/>
  <c r="F140" i="5"/>
  <c r="F159" i="5"/>
  <c r="F134" i="5"/>
  <c r="F167" i="5"/>
  <c r="F136" i="5"/>
  <c r="F138" i="5"/>
  <c r="F92" i="5"/>
  <c r="F91" i="5"/>
  <c r="F142" i="5"/>
  <c r="F145" i="5"/>
  <c r="F163" i="5"/>
  <c r="F150" i="5"/>
  <c r="F146" i="5"/>
  <c r="F63" i="5"/>
  <c r="F130" i="5"/>
  <c r="F172" i="5"/>
  <c r="F118" i="5"/>
  <c r="F114" i="5"/>
  <c r="F120" i="5"/>
  <c r="F135" i="5"/>
  <c r="F117" i="5"/>
  <c r="F151" i="5"/>
  <c r="F121" i="5"/>
  <c r="F119" i="5"/>
  <c r="F144" i="5"/>
  <c r="F115" i="5"/>
  <c r="F111" i="5"/>
  <c r="F262" i="5"/>
  <c r="F283" i="5"/>
  <c r="F288" i="5"/>
  <c r="F293" i="5"/>
  <c r="F242" i="5"/>
  <c r="F265" i="5"/>
  <c r="F286" i="5"/>
  <c r="F317" i="5"/>
  <c r="F229" i="5"/>
  <c r="F290" i="5"/>
  <c r="F259" i="5"/>
  <c r="F267" i="5"/>
  <c r="F282" i="5"/>
  <c r="F277" i="5"/>
  <c r="F232" i="5"/>
  <c r="F243" i="5"/>
  <c r="F273" i="5"/>
  <c r="F281" i="5"/>
  <c r="F297" i="5"/>
  <c r="F296" i="5"/>
  <c r="F300" i="5"/>
  <c r="F233" i="5"/>
  <c r="F264" i="5"/>
  <c r="F335" i="5"/>
  <c r="F334" i="5"/>
  <c r="F245" i="5"/>
  <c r="F284" i="5"/>
  <c r="F325" i="5"/>
  <c r="F275" i="5"/>
  <c r="F251" i="5"/>
  <c r="F224" i="5"/>
  <c r="F279" i="5"/>
  <c r="F271" i="5"/>
  <c r="F324" i="5"/>
  <c r="F231" i="5"/>
  <c r="F253" i="5"/>
  <c r="F226" i="5"/>
  <c r="F225" i="5"/>
  <c r="F247" i="5"/>
  <c r="F236" i="5"/>
  <c r="F276" i="5"/>
  <c r="F323" i="5"/>
  <c r="F278" i="5"/>
  <c r="F287" i="5"/>
  <c r="F244" i="5"/>
  <c r="F250" i="5"/>
  <c r="F320" i="5"/>
  <c r="F252" i="5"/>
  <c r="F249" i="5"/>
  <c r="F268" i="5"/>
  <c r="F133" i="5"/>
  <c r="F161" i="5"/>
  <c r="F154" i="5"/>
  <c r="F148" i="5"/>
  <c r="F60" i="5"/>
  <c r="F113" i="5"/>
  <c r="F124" i="5"/>
  <c r="F173" i="5"/>
  <c r="F158" i="5"/>
  <c r="F122" i="5"/>
  <c r="F126" i="5"/>
  <c r="F101" i="5"/>
  <c r="F149" i="5"/>
  <c r="F153" i="5"/>
  <c r="F166" i="5"/>
  <c r="F157" i="5"/>
  <c r="F116" i="5"/>
  <c r="F105" i="5"/>
  <c r="F96" i="5"/>
  <c r="F128" i="5"/>
  <c r="F152" i="5"/>
  <c r="F160" i="5"/>
  <c r="F93" i="5"/>
  <c r="F112" i="5"/>
  <c r="F125" i="5"/>
  <c r="F104" i="5"/>
  <c r="F94" i="5"/>
  <c r="F88" i="5"/>
  <c r="F147" i="5"/>
  <c r="F143" i="5"/>
  <c r="F98" i="5"/>
  <c r="F71" i="5"/>
  <c r="F106" i="5"/>
  <c r="F127" i="5"/>
  <c r="F97" i="5"/>
  <c r="F95" i="5"/>
  <c r="F141" i="5"/>
  <c r="F137" i="5"/>
  <c r="F132" i="5"/>
  <c r="F139" i="5"/>
  <c r="F100" i="5"/>
  <c r="F155" i="5"/>
  <c r="F55" i="5"/>
  <c r="F110" i="5"/>
  <c r="F90" i="5"/>
  <c r="F58" i="5"/>
  <c r="F164" i="5"/>
  <c r="F162" i="5"/>
  <c r="F169" i="5"/>
  <c r="F103" i="5"/>
  <c r="F373" i="5"/>
  <c r="F213" i="5"/>
  <c r="F386" i="5"/>
  <c r="F376" i="5"/>
  <c r="F215" i="5"/>
  <c r="F374" i="5"/>
  <c r="F214" i="5"/>
  <c r="F212" i="5"/>
  <c r="F314" i="5"/>
  <c r="F209" i="5"/>
  <c r="F241" i="5"/>
  <c r="F371" i="5"/>
  <c r="F383" i="5"/>
  <c r="F307" i="5"/>
  <c r="F397" i="5"/>
  <c r="F207" i="5"/>
  <c r="F381" i="5"/>
  <c r="F218" i="5"/>
  <c r="F389" i="5"/>
  <c r="F391" i="5"/>
  <c r="F378" i="5"/>
  <c r="F327" i="5"/>
  <c r="F210" i="5"/>
  <c r="F220" i="5"/>
  <c r="F394" i="5"/>
  <c r="F390" i="5"/>
  <c r="F303" i="5"/>
  <c r="F385" i="5"/>
  <c r="F217" i="5"/>
  <c r="F238" i="5"/>
  <c r="F392" i="5"/>
  <c r="F377" i="5"/>
  <c r="F330" i="5"/>
  <c r="F380" i="5"/>
  <c r="F222" i="5"/>
  <c r="F379" i="5"/>
  <c r="F206" i="5"/>
  <c r="F370" i="5"/>
  <c r="F382" i="5"/>
  <c r="F400" i="5"/>
  <c r="F388" i="5"/>
  <c r="F401" i="5"/>
  <c r="F395" i="5"/>
  <c r="F202" i="5"/>
  <c r="F304" i="5"/>
  <c r="F396" i="5"/>
  <c r="F375" i="5"/>
  <c r="F183" i="5"/>
  <c r="F178" i="5"/>
  <c r="F35" i="5"/>
  <c r="F201" i="5"/>
  <c r="F200" i="5"/>
  <c r="F49" i="5"/>
  <c r="F11" i="5"/>
  <c r="F174" i="5"/>
  <c r="F23" i="5"/>
  <c r="F189" i="5"/>
  <c r="F180" i="5"/>
  <c r="F193" i="5"/>
  <c r="F37" i="5"/>
  <c r="F32" i="5"/>
  <c r="F50" i="5"/>
  <c r="F21" i="5"/>
  <c r="F20" i="5"/>
  <c r="F28" i="5"/>
  <c r="F8" i="5"/>
  <c r="F41" i="5"/>
  <c r="F17" i="5"/>
  <c r="F22" i="5"/>
  <c r="F186" i="5"/>
  <c r="F14" i="5"/>
  <c r="F24" i="5"/>
  <c r="F5" i="5"/>
  <c r="F4" i="5"/>
  <c r="F25" i="5"/>
  <c r="F181" i="5"/>
  <c r="F13" i="5"/>
  <c r="F42" i="5"/>
  <c r="F38" i="5"/>
  <c r="F185" i="5"/>
  <c r="F16" i="5"/>
  <c r="F39" i="5"/>
  <c r="F197" i="5"/>
  <c r="F40" i="5"/>
  <c r="F34" i="5"/>
  <c r="F195" i="5"/>
  <c r="F188" i="5"/>
  <c r="F372" i="5"/>
  <c r="F384" i="5"/>
  <c r="F387" i="5"/>
  <c r="F310" i="5"/>
  <c r="F239" i="5"/>
  <c r="F240" i="5"/>
  <c r="F223" i="5"/>
  <c r="F319" i="5"/>
  <c r="F216" i="5"/>
  <c r="F393" i="5"/>
  <c r="F203" i="5"/>
  <c r="F336" i="5"/>
  <c r="F315" i="5"/>
  <c r="F204" i="5"/>
  <c r="F219" i="5"/>
  <c r="F367" i="5"/>
  <c r="F337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66" i="5"/>
  <c r="F369" i="5"/>
  <c r="F368" i="5"/>
  <c r="F399" i="5"/>
  <c r="F398" i="5"/>
  <c r="F2" i="5"/>
  <c r="F9" i="5"/>
  <c r="F12" i="5"/>
  <c r="F179" i="5"/>
  <c r="F192" i="5"/>
  <c r="F196" i="5"/>
  <c r="F10" i="5"/>
  <c r="F7" i="5"/>
  <c r="F198" i="5"/>
  <c r="F27" i="5"/>
  <c r="F26" i="5"/>
  <c r="F187" i="5"/>
  <c r="F43" i="5"/>
  <c r="F15" i="5"/>
  <c r="F18" i="5"/>
  <c r="F175" i="5"/>
  <c r="F176" i="5"/>
  <c r="F30" i="5"/>
  <c r="F184" i="5"/>
  <c r="F19" i="5"/>
  <c r="F6" i="5"/>
  <c r="F3" i="5"/>
  <c r="F87" i="5"/>
  <c r="F86" i="5"/>
  <c r="F85" i="5"/>
  <c r="F84" i="5"/>
  <c r="F83" i="5"/>
  <c r="F82" i="5"/>
  <c r="F80" i="5"/>
  <c r="F79" i="5"/>
  <c r="F78" i="5"/>
  <c r="F77" i="5"/>
  <c r="F75" i="5"/>
  <c r="F74" i="5"/>
  <c r="F73" i="5"/>
  <c r="F72" i="5"/>
  <c r="F70" i="5"/>
  <c r="F69" i="5"/>
  <c r="F68" i="5"/>
  <c r="F67" i="5"/>
  <c r="F66" i="5"/>
  <c r="F65" i="5"/>
  <c r="F64" i="5"/>
  <c r="F62" i="5"/>
  <c r="F61" i="5"/>
  <c r="F59" i="5"/>
  <c r="F57" i="5"/>
  <c r="F56" i="5"/>
  <c r="F54" i="5"/>
  <c r="F53" i="5"/>
  <c r="F404" i="5"/>
  <c r="E208" i="5"/>
  <c r="E255" i="5"/>
  <c r="E221" i="5"/>
  <c r="E29" i="5"/>
  <c r="E31" i="5"/>
  <c r="E199" i="5"/>
  <c r="E190" i="5"/>
  <c r="E182" i="5"/>
  <c r="E33" i="5"/>
  <c r="E191" i="5"/>
  <c r="E235" i="5"/>
  <c r="E301" i="5"/>
  <c r="E329" i="5"/>
  <c r="E289" i="5"/>
  <c r="E260" i="5"/>
  <c r="E328" i="5"/>
  <c r="E309" i="5"/>
  <c r="E333" i="5"/>
  <c r="E332" i="5"/>
  <c r="E302" i="5"/>
  <c r="E237" i="5"/>
  <c r="E318" i="5"/>
  <c r="E331" i="5"/>
  <c r="E211" i="5"/>
  <c r="E305" i="5"/>
  <c r="E311" i="5"/>
  <c r="E205" i="5"/>
  <c r="E326" i="5"/>
  <c r="E246" i="5"/>
  <c r="E313" i="5"/>
  <c r="E248" i="5"/>
  <c r="E230" i="5"/>
  <c r="E321" i="5"/>
  <c r="E272" i="5"/>
  <c r="E312" i="5"/>
  <c r="E306" i="5"/>
  <c r="E234" i="5"/>
  <c r="E308" i="5"/>
  <c r="E266" i="5"/>
  <c r="E263" i="5"/>
  <c r="E228" i="5"/>
  <c r="E261" i="5"/>
  <c r="E298" i="5"/>
  <c r="E291" i="5"/>
  <c r="E227" i="5"/>
  <c r="E292" i="5"/>
  <c r="E256" i="5"/>
  <c r="E294" i="5"/>
  <c r="E295" i="5"/>
  <c r="E274" i="5"/>
  <c r="E285" i="5"/>
  <c r="E322" i="5"/>
  <c r="E254" i="5"/>
  <c r="E299" i="5"/>
  <c r="E316" i="5"/>
  <c r="E269" i="5"/>
  <c r="E270" i="5"/>
  <c r="E257" i="5"/>
  <c r="E280" i="5"/>
  <c r="E258" i="5"/>
  <c r="E46" i="5"/>
  <c r="E45" i="5"/>
  <c r="E47" i="5"/>
  <c r="E48" i="5"/>
  <c r="E44" i="5"/>
  <c r="E51" i="5"/>
  <c r="E129" i="5"/>
  <c r="E76" i="5"/>
  <c r="E171" i="5"/>
  <c r="E156" i="5"/>
  <c r="E102" i="5"/>
  <c r="E89" i="5"/>
  <c r="E52" i="5"/>
  <c r="E107" i="5"/>
  <c r="E123" i="5"/>
  <c r="E81" i="5"/>
  <c r="E168" i="5"/>
  <c r="E99" i="5"/>
  <c r="E131" i="5"/>
  <c r="E108" i="5"/>
  <c r="E170" i="5"/>
  <c r="E165" i="5"/>
  <c r="E109" i="5"/>
  <c r="E140" i="5"/>
  <c r="E159" i="5"/>
  <c r="E134" i="5"/>
  <c r="E167" i="5"/>
  <c r="E136" i="5"/>
  <c r="E138" i="5"/>
  <c r="E92" i="5"/>
  <c r="E91" i="5"/>
  <c r="E142" i="5"/>
  <c r="E145" i="5"/>
  <c r="E163" i="5"/>
  <c r="E150" i="5"/>
  <c r="E146" i="5"/>
  <c r="E63" i="5"/>
  <c r="E130" i="5"/>
  <c r="E172" i="5"/>
  <c r="E118" i="5"/>
  <c r="E114" i="5"/>
  <c r="E120" i="5"/>
  <c r="E135" i="5"/>
  <c r="E117" i="5"/>
  <c r="E151" i="5"/>
  <c r="E121" i="5"/>
  <c r="E119" i="5"/>
  <c r="E144" i="5"/>
  <c r="E115" i="5"/>
  <c r="E111" i="5"/>
  <c r="E262" i="5"/>
  <c r="E283" i="5"/>
  <c r="E288" i="5"/>
  <c r="E293" i="5"/>
  <c r="E242" i="5"/>
  <c r="E265" i="5"/>
  <c r="E286" i="5"/>
  <c r="E317" i="5"/>
  <c r="E229" i="5"/>
  <c r="E290" i="5"/>
  <c r="E259" i="5"/>
  <c r="E267" i="5"/>
  <c r="E282" i="5"/>
  <c r="E277" i="5"/>
  <c r="E232" i="5"/>
  <c r="E243" i="5"/>
  <c r="E273" i="5"/>
  <c r="E281" i="5"/>
  <c r="E297" i="5"/>
  <c r="E296" i="5"/>
  <c r="E300" i="5"/>
  <c r="E233" i="5"/>
  <c r="E264" i="5"/>
  <c r="E335" i="5"/>
  <c r="E334" i="5"/>
  <c r="E245" i="5"/>
  <c r="E284" i="5"/>
  <c r="E325" i="5"/>
  <c r="E275" i="5"/>
  <c r="E251" i="5"/>
  <c r="E224" i="5"/>
  <c r="E279" i="5"/>
  <c r="E271" i="5"/>
  <c r="E324" i="5"/>
  <c r="E231" i="5"/>
  <c r="E253" i="5"/>
  <c r="E226" i="5"/>
  <c r="E225" i="5"/>
  <c r="E247" i="5"/>
  <c r="E236" i="5"/>
  <c r="E276" i="5"/>
  <c r="E323" i="5"/>
  <c r="E278" i="5"/>
  <c r="E287" i="5"/>
  <c r="E244" i="5"/>
  <c r="E250" i="5"/>
  <c r="E320" i="5"/>
  <c r="E252" i="5"/>
  <c r="E249" i="5"/>
  <c r="E268" i="5"/>
  <c r="E133" i="5"/>
  <c r="E161" i="5"/>
  <c r="E154" i="5"/>
  <c r="E148" i="5"/>
  <c r="E60" i="5"/>
  <c r="E113" i="5"/>
  <c r="E124" i="5"/>
  <c r="E173" i="5"/>
  <c r="E158" i="5"/>
  <c r="E122" i="5"/>
  <c r="E126" i="5"/>
  <c r="E101" i="5"/>
  <c r="E149" i="5"/>
  <c r="E153" i="5"/>
  <c r="E166" i="5"/>
  <c r="E157" i="5"/>
  <c r="E116" i="5"/>
  <c r="E105" i="5"/>
  <c r="E96" i="5"/>
  <c r="E128" i="5"/>
  <c r="E152" i="5"/>
  <c r="E160" i="5"/>
  <c r="E93" i="5"/>
  <c r="E112" i="5"/>
  <c r="E125" i="5"/>
  <c r="E104" i="5"/>
  <c r="E94" i="5"/>
  <c r="E88" i="5"/>
  <c r="E147" i="5"/>
  <c r="E143" i="5"/>
  <c r="E98" i="5"/>
  <c r="E71" i="5"/>
  <c r="E106" i="5"/>
  <c r="E127" i="5"/>
  <c r="E97" i="5"/>
  <c r="E95" i="5"/>
  <c r="E141" i="5"/>
  <c r="E137" i="5"/>
  <c r="E132" i="5"/>
  <c r="E139" i="5"/>
  <c r="E100" i="5"/>
  <c r="E155" i="5"/>
  <c r="E55" i="5"/>
  <c r="E110" i="5"/>
  <c r="E90" i="5"/>
  <c r="E58" i="5"/>
  <c r="E164" i="5"/>
  <c r="E162" i="5"/>
  <c r="E169" i="5"/>
  <c r="E103" i="5"/>
  <c r="E373" i="5"/>
  <c r="E213" i="5"/>
  <c r="E386" i="5"/>
  <c r="E376" i="5"/>
  <c r="E215" i="5"/>
  <c r="E374" i="5"/>
  <c r="E214" i="5"/>
  <c r="E212" i="5"/>
  <c r="E314" i="5"/>
  <c r="E209" i="5"/>
  <c r="E241" i="5"/>
  <c r="E371" i="5"/>
  <c r="E383" i="5"/>
  <c r="E307" i="5"/>
  <c r="E397" i="5"/>
  <c r="E207" i="5"/>
  <c r="E381" i="5"/>
  <c r="E218" i="5"/>
  <c r="E389" i="5"/>
  <c r="E391" i="5"/>
  <c r="E378" i="5"/>
  <c r="E327" i="5"/>
  <c r="E210" i="5"/>
  <c r="E220" i="5"/>
  <c r="E394" i="5"/>
  <c r="E390" i="5"/>
  <c r="E303" i="5"/>
  <c r="E385" i="5"/>
  <c r="E217" i="5"/>
  <c r="E238" i="5"/>
  <c r="E392" i="5"/>
  <c r="E377" i="5"/>
  <c r="E330" i="5"/>
  <c r="E380" i="5"/>
  <c r="E222" i="5"/>
  <c r="E379" i="5"/>
  <c r="E206" i="5"/>
  <c r="E370" i="5"/>
  <c r="E382" i="5"/>
  <c r="E400" i="5"/>
  <c r="E388" i="5"/>
  <c r="E401" i="5"/>
  <c r="E395" i="5"/>
  <c r="E202" i="5"/>
  <c r="E304" i="5"/>
  <c r="E396" i="5"/>
  <c r="E375" i="5"/>
  <c r="E36" i="5"/>
  <c r="E183" i="5"/>
  <c r="E177" i="5"/>
  <c r="E194" i="5"/>
  <c r="E178" i="5"/>
  <c r="E35" i="5"/>
  <c r="E201" i="5"/>
  <c r="E200" i="5"/>
  <c r="E49" i="5"/>
  <c r="E11" i="5"/>
  <c r="E174" i="5"/>
  <c r="E23" i="5"/>
  <c r="E189" i="5"/>
  <c r="E180" i="5"/>
  <c r="E193" i="5"/>
  <c r="E37" i="5"/>
  <c r="E32" i="5"/>
  <c r="E50" i="5"/>
  <c r="E21" i="5"/>
  <c r="E20" i="5"/>
  <c r="E28" i="5"/>
  <c r="E8" i="5"/>
  <c r="E41" i="5"/>
  <c r="E17" i="5"/>
  <c r="E22" i="5"/>
  <c r="E186" i="5"/>
  <c r="E14" i="5"/>
  <c r="E24" i="5"/>
  <c r="E5" i="5"/>
  <c r="E4" i="5"/>
  <c r="E25" i="5"/>
  <c r="E181" i="5"/>
  <c r="E13" i="5"/>
  <c r="E42" i="5"/>
  <c r="E38" i="5"/>
  <c r="E185" i="5"/>
  <c r="E16" i="5"/>
  <c r="E39" i="5"/>
  <c r="E197" i="5"/>
  <c r="E40" i="5"/>
  <c r="E34" i="5"/>
  <c r="E195" i="5"/>
  <c r="E188" i="5"/>
  <c r="E372" i="5"/>
  <c r="E384" i="5"/>
  <c r="E387" i="5"/>
  <c r="E310" i="5"/>
  <c r="E239" i="5"/>
  <c r="E240" i="5"/>
  <c r="E223" i="5"/>
  <c r="E319" i="5"/>
  <c r="E216" i="5"/>
  <c r="E393" i="5"/>
  <c r="E203" i="5"/>
  <c r="E336" i="5"/>
  <c r="E315" i="5"/>
  <c r="E204" i="5"/>
  <c r="E219" i="5"/>
  <c r="E367" i="5"/>
  <c r="E337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66" i="5"/>
  <c r="E369" i="5"/>
  <c r="E368" i="5"/>
  <c r="E399" i="5"/>
  <c r="E398" i="5"/>
  <c r="E2" i="5"/>
  <c r="E9" i="5"/>
  <c r="E12" i="5"/>
  <c r="E179" i="5"/>
  <c r="E192" i="5"/>
  <c r="E196" i="5"/>
  <c r="E10" i="5"/>
  <c r="E7" i="5"/>
  <c r="E198" i="5"/>
  <c r="E27" i="5"/>
  <c r="E26" i="5"/>
  <c r="E187" i="5"/>
  <c r="E43" i="5"/>
  <c r="E15" i="5"/>
  <c r="E18" i="5"/>
  <c r="E175" i="5"/>
  <c r="E176" i="5"/>
  <c r="E30" i="5"/>
  <c r="E184" i="5"/>
  <c r="E19" i="5"/>
  <c r="E6" i="5"/>
  <c r="E3" i="5"/>
  <c r="E87" i="5"/>
  <c r="E86" i="5"/>
  <c r="E85" i="5"/>
  <c r="E84" i="5"/>
  <c r="E83" i="5"/>
  <c r="E82" i="5"/>
  <c r="E80" i="5"/>
  <c r="E79" i="5"/>
  <c r="E78" i="5"/>
  <c r="E77" i="5"/>
  <c r="E75" i="5"/>
  <c r="E74" i="5"/>
  <c r="E73" i="5"/>
  <c r="E72" i="5"/>
  <c r="E70" i="5"/>
  <c r="E69" i="5"/>
  <c r="E68" i="5"/>
  <c r="E67" i="5"/>
  <c r="E66" i="5"/>
  <c r="E65" i="5"/>
  <c r="E64" i="5"/>
  <c r="E62" i="5"/>
  <c r="E61" i="5"/>
  <c r="E59" i="5"/>
  <c r="E57" i="5"/>
  <c r="E56" i="5"/>
  <c r="E54" i="5"/>
  <c r="E53" i="5"/>
  <c r="E402" i="5"/>
  <c r="E406" i="5"/>
  <c r="E405" i="5"/>
  <c r="E403" i="5"/>
  <c r="E407" i="5"/>
  <c r="E411" i="5"/>
  <c r="E408" i="5"/>
  <c r="E410" i="5"/>
  <c r="E40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tc={8ACED694-79E5-413E-880D-88BBEDB05BF4}</author>
    <author>tc={42C49799-3FC6-49AF-936B-C567A184C564}</author>
    <author>tc={657E0A3C-EA1E-4B71-AC11-B540B6A48382}</author>
  </authors>
  <commentList>
    <comment ref="B20" authorId="0" shapeId="0" xr:uid="{8ACED694-79E5-413E-880D-88BBEDB05BF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are not in the Connection Guidance Document, but there is a DUIS 3.1</t>
      </text>
    </comment>
    <comment ref="B34" authorId="1" shapeId="0" xr:uid="{42C49799-3FC6-49AF-936B-C567A184C564}">
      <text>
        <t>[Threaded comment]
Your version of Excel allows you to read this threaded comment; however, any edits to it will get removed if the file is opened in a newer version of Excel. Learn more: https://go.microsoft.com/fwlink/?linkid=870924
Comment:
    DUIS 5.3 not included against UIT-A as it is currently only available in B Stream</t>
      </text>
    </comment>
    <comment ref="B39" authorId="2" shapeId="0" xr:uid="{657E0A3C-EA1E-4B71-AC11-B540B6A4838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are not in the Connection Guidance Document, but there is a DUIS 3.1</t>
      </text>
    </comment>
  </commentList>
</comments>
</file>

<file path=xl/sharedStrings.xml><?xml version="1.0" encoding="utf-8"?>
<sst xmlns="http://schemas.openxmlformats.org/spreadsheetml/2006/main" count="4864" uniqueCount="621">
  <si>
    <t>EUI-64</t>
  </si>
  <si>
    <t>DUIS Role</t>
  </si>
  <si>
    <t>MPID</t>
  </si>
  <si>
    <t>DUIS Version</t>
  </si>
  <si>
    <t>Environment</t>
  </si>
  <si>
    <t>XMLSigningCert</t>
  </si>
  <si>
    <t>GBCS DS</t>
  </si>
  <si>
    <t>GBCS DS Base 64</t>
  </si>
  <si>
    <t>GBCS DS Subject Key Identifier</t>
  </si>
  <si>
    <t>GBCS KA</t>
  </si>
  <si>
    <t>GBCS KA Base 64</t>
  </si>
  <si>
    <t>GBCS KA Subject Key Identifier</t>
  </si>
  <si>
    <t>GBCS PPKA</t>
  </si>
  <si>
    <t>GBCS PPKA Base 64</t>
  </si>
  <si>
    <t>GBCS PPKA Subject Key Identifier</t>
  </si>
  <si>
    <t>ADT File</t>
  </si>
  <si>
    <t>EUCT / Subset Testing Complete</t>
  </si>
  <si>
    <t>70-B3-D5-1F-31-AA-01-00</t>
  </si>
  <si>
    <t>IS (1)</t>
  </si>
  <si>
    <t>HCLT</t>
  </si>
  <si>
    <t>SIT-A</t>
  </si>
  <si>
    <t>70-B3-D5-1F-31-AA-01-01</t>
  </si>
  <si>
    <t>IS (2)</t>
  </si>
  <si>
    <t>70-B3-D5-1F-31-AA-01-02</t>
  </si>
  <si>
    <t>ES</t>
  </si>
  <si>
    <t>N/A</t>
  </si>
  <si>
    <t>Not Required</t>
  </si>
  <si>
    <t>70-B3-D5-1F-31-AA-01-03</t>
  </si>
  <si>
    <t>GS (1)</t>
  </si>
  <si>
    <t>HCL</t>
  </si>
  <si>
    <t>70-B3-D5-1F-31-AA-01-04</t>
  </si>
  <si>
    <t>GS (2)</t>
  </si>
  <si>
    <t>70-B3-D5-1F-31-AA-01-05</t>
  </si>
  <si>
    <t>ED</t>
  </si>
  <si>
    <t>70-B3-D5-1F-31-AA-01-06</t>
  </si>
  <si>
    <t>GT</t>
  </si>
  <si>
    <t>70-B3-D5-1F-31-AA-01-07</t>
  </si>
  <si>
    <t>RSA</t>
  </si>
  <si>
    <t>HCLT, HCL</t>
  </si>
  <si>
    <t>70-B3-D5-1F-31-AA-01-08</t>
  </si>
  <si>
    <t>OU</t>
  </si>
  <si>
    <t>70-B3-D5-1F-31-AA-01-09</t>
  </si>
  <si>
    <t>70-B3-D5-1F-31-AA-01-10</t>
  </si>
  <si>
    <t>70-B3-D5-1F-31-AA-01-11</t>
  </si>
  <si>
    <t>70-B3-D5-1F-31-AA-01-12</t>
  </si>
  <si>
    <t>70-B3-D5-1F-31-AA-01-13</t>
  </si>
  <si>
    <t>70-B3-D5-1F-31-AA-01-14</t>
  </si>
  <si>
    <t>70-B3-D5-1F-31-AA-01-15</t>
  </si>
  <si>
    <t>70-B3-D5-1F-31-AA-01-16</t>
  </si>
  <si>
    <t>70-B3-D5-1F-31-AA-01-17</t>
  </si>
  <si>
    <t>70-B3-D5-1F-31-AA-01-18</t>
  </si>
  <si>
    <t>70-B3-D5-1F-31-AA-01-19</t>
  </si>
  <si>
    <t>70-B3-D5-1F-31-AA-01-20</t>
  </si>
  <si>
    <t>70-B3-D5-1F-31-AA-01-21</t>
  </si>
  <si>
    <t>70-B3-D5-1F-31-AA-01-22</t>
  </si>
  <si>
    <t>70-B3-D5-1F-31-AA-01-23</t>
  </si>
  <si>
    <t>70-B3-D5-1F-31-AA-01-24</t>
  </si>
  <si>
    <t>70-B3-D5-1F-31-AA-01-25</t>
  </si>
  <si>
    <t>70-B3-D5-1F-31-AA-01-26</t>
  </si>
  <si>
    <t>70-B3-D5-1F-31-AA-01-27</t>
  </si>
  <si>
    <t>70-B3-D5-1F-31-AA-01-28</t>
  </si>
  <si>
    <t>70-B3-D5-1F-31-AA-01-29</t>
  </si>
  <si>
    <t>70-B3-D5-1F-31-AA-01-30</t>
  </si>
  <si>
    <t>70-B3-D5-1F-31-AA-01-31</t>
  </si>
  <si>
    <t>70-B3-D5-1F-31-AA-01-32</t>
  </si>
  <si>
    <t>70-B3-D5-1F-31-AA-01-33</t>
  </si>
  <si>
    <t>70-B3-D5-1F-31-AA-01-34</t>
  </si>
  <si>
    <t>70-B3-D5-1F-31-AA-01-35</t>
  </si>
  <si>
    <t>70-B3-D5-1F-31-AA-01-36</t>
  </si>
  <si>
    <t>70-B3-D5-1F-31-AA-01-37</t>
  </si>
  <si>
    <t>70-B3-D5-1F-31-AA-01-38</t>
  </si>
  <si>
    <t>70-B3-D5-1F-31-AA-01-39</t>
  </si>
  <si>
    <t>70-B3-D5-1F-31-AA-01-40</t>
  </si>
  <si>
    <t>70-B3-D5-1F-31-AA-01-41</t>
  </si>
  <si>
    <t>70-B3-D5-1F-31-AA-01-42</t>
  </si>
  <si>
    <t>70-B3-D5-1F-31-AA-01-43</t>
  </si>
  <si>
    <t>70-B3-D5-1F-31-AA-01-44</t>
  </si>
  <si>
    <t>70-B3-D5-1F-31-AA-01-45</t>
  </si>
  <si>
    <t>70-B3-D5-1F-31-AA-01-46</t>
  </si>
  <si>
    <t>70-B3-D5-1F-31-AA-01-47</t>
  </si>
  <si>
    <t>70-B3-D5-1F-31-AA-01-48</t>
  </si>
  <si>
    <t>70-B3-D5-1F-31-AA-01-49</t>
  </si>
  <si>
    <t>70-B3-D5-1F-31-AA-01-50</t>
  </si>
  <si>
    <t>70-B3-D5-1F-31-AA-01-51</t>
  </si>
  <si>
    <t>70-B3-D5-1F-31-AA-01-52</t>
  </si>
  <si>
    <t>70-B3-D5-1F-31-AA-01-53</t>
  </si>
  <si>
    <t>70-B3-D5-1F-31-AA-01-54</t>
  </si>
  <si>
    <t>70-B3-D5-1F-31-AA-01-55</t>
  </si>
  <si>
    <t>70-B3-D5-1F-31-AA-01-56</t>
  </si>
  <si>
    <t>70-B3-D5-1F-31-AA-01-57</t>
  </si>
  <si>
    <t>70-B3-D5-1F-31-AA-01-58</t>
  </si>
  <si>
    <t>70-B3-D5-1F-31-AA-01-59</t>
  </si>
  <si>
    <t>70-B3-D5-1F-31-AA-01-60</t>
  </si>
  <si>
    <t>70-B3-D5-1F-31-AA-01-61</t>
  </si>
  <si>
    <t>70-B3-D5-1F-31-AA-01-62</t>
  </si>
  <si>
    <t>70-B3-D5-1F-31-AA-01-63</t>
  </si>
  <si>
    <t>MDR</t>
  </si>
  <si>
    <t>70-B3-D5-1F-31-AA-02-00</t>
  </si>
  <si>
    <t>SIT-B</t>
  </si>
  <si>
    <t>70-B3-D5-1F-31-AA-02-01</t>
  </si>
  <si>
    <t>70-B3-D5-1F-31-AA-02-02</t>
  </si>
  <si>
    <t>70-B3-D5-1F-31-AA-02-03</t>
  </si>
  <si>
    <t>70-B3-D5-1F-31-AA-02-04</t>
  </si>
  <si>
    <t>70-B3-D5-1F-31-AA-02-05</t>
  </si>
  <si>
    <t>70-B3-D5-1F-31-AA-02-06</t>
  </si>
  <si>
    <t>70-B3-D5-1F-31-AA-02-07</t>
  </si>
  <si>
    <t>70-B3-D5-1F-31-AA-02-08</t>
  </si>
  <si>
    <t>70-B3-D5-1F-31-AA-02-09</t>
  </si>
  <si>
    <t>70-B3-D5-1F-31-AA-02-10</t>
  </si>
  <si>
    <t>70-B3-D5-1F-31-AA-02-11</t>
  </si>
  <si>
    <t>70-B3-D5-1F-31-AA-02-12</t>
  </si>
  <si>
    <t>70-B3-D5-1F-31-AA-02-13</t>
  </si>
  <si>
    <t>70-B3-D5-1F-31-AA-02-14</t>
  </si>
  <si>
    <t>70-B3-D5-1F-31-AA-02-15</t>
  </si>
  <si>
    <t>70-B3-D5-1F-31-AA-02-16</t>
  </si>
  <si>
    <t>70-B3-D5-1F-31-AA-02-17</t>
  </si>
  <si>
    <t>70-B3-D5-1F-31-AA-02-18</t>
  </si>
  <si>
    <t>70-B3-D5-1F-31-AA-02-19</t>
  </si>
  <si>
    <t>70-B3-D5-1F-31-AA-02-20</t>
  </si>
  <si>
    <t>70-B3-D5-1F-31-AA-02-21</t>
  </si>
  <si>
    <t>70-B3-D5-1F-31-AA-02-22</t>
  </si>
  <si>
    <t>70-B3-D5-1F-31-AA-02-23</t>
  </si>
  <si>
    <t>70-B3-D5-1F-31-AA-02-24</t>
  </si>
  <si>
    <t>70-B3-D5-1F-31-AA-02-25</t>
  </si>
  <si>
    <t>70-B3-D5-1F-31-AA-02-26</t>
  </si>
  <si>
    <t>70-B3-D5-1F-31-AA-02-27</t>
  </si>
  <si>
    <t>70-B3-D5-1F-31-AA-02-28</t>
  </si>
  <si>
    <t>70-B3-D5-1F-31-AA-02-29</t>
  </si>
  <si>
    <t>70-B3-D5-1F-31-AA-02-30</t>
  </si>
  <si>
    <t>70-B3-D5-1F-31-AA-02-31</t>
  </si>
  <si>
    <t>70-B3-D5-1F-31-AA-02-32</t>
  </si>
  <si>
    <t>70-B3-D5-1F-31-AA-02-33</t>
  </si>
  <si>
    <t>70-B3-D5-1F-31-AA-02-34</t>
  </si>
  <si>
    <t>70-B3-D5-1F-31-AA-02-35</t>
  </si>
  <si>
    <t>70-B3-D5-1F-31-AA-02-36</t>
  </si>
  <si>
    <t>70-B3-D5-1F-31-AA-02-37</t>
  </si>
  <si>
    <t>70-B3-D5-1F-31-AA-02-38</t>
  </si>
  <si>
    <t>70-B3-D5-1F-31-AA-02-39</t>
  </si>
  <si>
    <t>70-B3-D5-1F-31-AA-02-40</t>
  </si>
  <si>
    <t>70-B3-D5-1F-31-AA-02-41</t>
  </si>
  <si>
    <t>70-B3-D5-1F-31-AA-02-42</t>
  </si>
  <si>
    <t>70-B3-D5-1F-31-AA-02-43</t>
  </si>
  <si>
    <t>70-B3-D5-1F-31-AA-02-44</t>
  </si>
  <si>
    <t>70-B3-D5-1F-31-AA-02-45</t>
  </si>
  <si>
    <t>70-B3-D5-1F-31-AA-02-46</t>
  </si>
  <si>
    <t>70-B3-D5-1F-31-AA-02-47</t>
  </si>
  <si>
    <t>70-B3-D5-1F-31-AA-02-48</t>
  </si>
  <si>
    <t>70-B3-D5-1F-31-AA-02-49</t>
  </si>
  <si>
    <t>70-B3-D5-1F-31-AA-02-50</t>
  </si>
  <si>
    <t>70-B3-D5-1F-31-AA-02-51</t>
  </si>
  <si>
    <t>70-B3-D5-1F-31-AA-02-52</t>
  </si>
  <si>
    <t>70-B3-D5-1F-31-AA-02-53</t>
  </si>
  <si>
    <t>70-B3-D5-1F-31-AA-02-54</t>
  </si>
  <si>
    <t>70-B3-D5-1F-31-AA-02-55</t>
  </si>
  <si>
    <t>70-B3-D5-1F-31-AA-02-56</t>
  </si>
  <si>
    <t>70-B3-D5-1F-31-AA-02-57</t>
  </si>
  <si>
    <t>70-B3-D5-1F-31-AA-02-58</t>
  </si>
  <si>
    <t>70-B3-D5-1F-31-AA-02-59</t>
  </si>
  <si>
    <t>70-B3-D5-1F-31-AA-02-60</t>
  </si>
  <si>
    <t>70-B3-D5-1F-31-AA-02-61</t>
  </si>
  <si>
    <t>70-B3-D5-1F-31-AA-02-62</t>
  </si>
  <si>
    <t>70-B3-D5-1F-31-AA-02-63</t>
  </si>
  <si>
    <t>70-B3-D5-1F-31-AA-03-00</t>
  </si>
  <si>
    <t>UIT-A</t>
  </si>
  <si>
    <t>Complete</t>
  </si>
  <si>
    <t>70-B3-D5-1F-31-AA-03-01</t>
  </si>
  <si>
    <t>Complete (24.10.24)</t>
  </si>
  <si>
    <t>70-B3-D5-1F-31-AA-03-02</t>
  </si>
  <si>
    <t>70-B3-D5-1F-31-AA-03-03</t>
  </si>
  <si>
    <t>70-B3-D5-1F-31-AA-03-04</t>
  </si>
  <si>
    <t>70-B3-D5-1F-31-AA-03-05</t>
  </si>
  <si>
    <t>70-B3-D5-1F-31-AA-03-06</t>
  </si>
  <si>
    <t>70-B3-D5-1F-31-AA-03-07</t>
  </si>
  <si>
    <t>70-B3-D5-1F-31-AA-03-08</t>
  </si>
  <si>
    <t>70-B3-D5-1F-31-AA-03-09</t>
  </si>
  <si>
    <t>70-B3-D5-1F-31-AA-03-10</t>
  </si>
  <si>
    <t>70-B3-D5-1F-31-AA-03-11</t>
  </si>
  <si>
    <t>70-B3-D5-1F-31-AA-03-12</t>
  </si>
  <si>
    <t>70-B3-D5-1F-31-AA-03-13</t>
  </si>
  <si>
    <t>70-B3-D5-1F-31-AA-03-14</t>
  </si>
  <si>
    <t>70-B3-D5-1F-31-AA-03-15</t>
  </si>
  <si>
    <t>70-B3-D5-1F-31-AA-03-16</t>
  </si>
  <si>
    <t>70-B3-D5-1F-31-AA-03-17</t>
  </si>
  <si>
    <t>70-B3-D5-1F-31-AA-03-18</t>
  </si>
  <si>
    <t>70-B3-D5-1F-31-AA-03-19</t>
  </si>
  <si>
    <t>70-B3-D5-1F-31-AA-03-20</t>
  </si>
  <si>
    <t>70-B3-D5-1F-31-AA-03-21</t>
  </si>
  <si>
    <t>70-B3-D5-1F-31-AA-03-22</t>
  </si>
  <si>
    <t>Complete (25.10.24)</t>
  </si>
  <si>
    <t>70-B3-D5-1F-31-AA-03-23</t>
  </si>
  <si>
    <t>70-B3-D5-1F-31-AA-03-24</t>
  </si>
  <si>
    <t>70-B3-D5-1F-31-AA-03-25</t>
  </si>
  <si>
    <t>70-B3-D5-1F-31-AA-03-26</t>
  </si>
  <si>
    <t>70-B3-D5-1F-31-AA-03-27</t>
  </si>
  <si>
    <t>70-B3-D5-1F-31-AA-03-28</t>
  </si>
  <si>
    <t>70-B3-D5-1F-31-AA-03-29</t>
  </si>
  <si>
    <t>70-B3-D5-1F-31-AA-03-30</t>
  </si>
  <si>
    <t>70-B3-D5-1F-31-AA-03-31</t>
  </si>
  <si>
    <t>70-B3-D5-1F-31-AA-03-32</t>
  </si>
  <si>
    <t>70-B3-D5-1F-31-AA-03-33</t>
  </si>
  <si>
    <t>70-B3-D5-1F-31-AA-03-34</t>
  </si>
  <si>
    <t>70-B3-D5-1F-31-AA-03-35</t>
  </si>
  <si>
    <t>70-B3-D5-1F-31-AA-03-36</t>
  </si>
  <si>
    <t>5ee5d0396d4e1952a5a87cec42f1aed0</t>
  </si>
  <si>
    <t>0c8d99cdc16abfb842f12c220b1feaa4</t>
  </si>
  <si>
    <t>4ccabdb3a5b4f1d4c7435f6f59937e09</t>
  </si>
  <si>
    <t>560dd9626d107e1b774b19e878383493</t>
  </si>
  <si>
    <t>70-B3-D5-1F-31-AA-03-37</t>
  </si>
  <si>
    <t>Complete (24.10.23</t>
  </si>
  <si>
    <t>70-B3-D5-1F-31-AA-03-38</t>
  </si>
  <si>
    <t>70-B3-D5-1F-31-AA-03-39</t>
  </si>
  <si>
    <t>6fb7d42c9d439cc810203743c9950fb6</t>
  </si>
  <si>
    <t>4aba547d0fff718cd4e105981e125e40</t>
  </si>
  <si>
    <t>189b8cb18c2e13a1d813aacb77c7703f</t>
  </si>
  <si>
    <t xml:space="preserve">3ee89263cf3170dfaf55a3c84c646050 </t>
  </si>
  <si>
    <t>70-B3-D5-1F-31-AA-03-40</t>
  </si>
  <si>
    <t>70-B3-D5-1F-31-AA-03-41</t>
  </si>
  <si>
    <t>70-B3-D5-1F-31-AA-03-42</t>
  </si>
  <si>
    <t>70-B3-D5-1F-31-AA-03-43</t>
  </si>
  <si>
    <t>70-B3-D5-1F-31-AA-03-44</t>
  </si>
  <si>
    <t>70-B3-D5-1F-31-AA-03-45</t>
  </si>
  <si>
    <t>70-B3-D5-1F-31-AA-03-46</t>
  </si>
  <si>
    <t>70-B3-D5-1F-31-AA-03-47</t>
  </si>
  <si>
    <t>70-B3-D5-1F-31-AA-03-48</t>
  </si>
  <si>
    <t>70-B3-D5-1F-31-AA-03-49</t>
  </si>
  <si>
    <t>70-B3-D5-1F-31-AA-03-50</t>
  </si>
  <si>
    <t>70-B3-D5-1F-31-AA-03-51</t>
  </si>
  <si>
    <t>70-B3-D5-1F-31-AA-03-52</t>
  </si>
  <si>
    <t>70-B3-D5-1F-31-AA-03-53</t>
  </si>
  <si>
    <t>70-B3-D5-1F-31-AA-03-54</t>
  </si>
  <si>
    <t>70-B3-D5-1F-31-AA-03-55</t>
  </si>
  <si>
    <t>70-B3-D5-1F-31-AA-03-56</t>
  </si>
  <si>
    <t>70-B3-D5-1F-31-AA-03-57</t>
  </si>
  <si>
    <t>70-B3-D5-1F-31-AA-03-58</t>
  </si>
  <si>
    <t>70-B3-D5-1F-31-AA-03-59</t>
  </si>
  <si>
    <t>70-B3-D5-1F-31-AA-03-60</t>
  </si>
  <si>
    <t>70-B3-D5-1F-31-AA-03-61</t>
  </si>
  <si>
    <t>70-B3-D5-1F-31-AA-03-62</t>
  </si>
  <si>
    <t>70-B3-D5-1F-31-AA-03-63</t>
  </si>
  <si>
    <t>70-B3-D5-1F-31-AA-04-00</t>
  </si>
  <si>
    <t>UIT-B</t>
  </si>
  <si>
    <t>70-B3-D5-1F-31-AA-04-01</t>
  </si>
  <si>
    <t>70-B3-D5-1F-31-AA-04-02</t>
  </si>
  <si>
    <t>70-B3-D5-1F-31-AA-04-03</t>
  </si>
  <si>
    <t>70-B3-D5-1F-31-AA-04-04</t>
  </si>
  <si>
    <t>70-B3-D5-1F-31-AA-04-05</t>
  </si>
  <si>
    <t>70-B3-D5-1F-31-AA-04-06</t>
  </si>
  <si>
    <t>70-B3-D5-1F-31-AA-04-07</t>
  </si>
  <si>
    <t>70-B3-D5-1F-31-AA-04-08</t>
  </si>
  <si>
    <t>70-B3-D5-1F-31-AA-04-09</t>
  </si>
  <si>
    <t>70-B3-D5-1F-31-AA-04-10</t>
  </si>
  <si>
    <t>70-B3-D5-1F-31-AA-04-11</t>
  </si>
  <si>
    <t>70-B3-D5-1F-31-AA-04-12</t>
  </si>
  <si>
    <t>70-B3-D5-1F-31-AA-04-13</t>
  </si>
  <si>
    <t>70-B3-D5-1F-31-AA-04-14</t>
  </si>
  <si>
    <t>70-B3-D5-1F-31-AA-04-15</t>
  </si>
  <si>
    <t>70-B3-D5-1F-31-AA-04-16</t>
  </si>
  <si>
    <t>70-B3-D5-1F-31-AA-04-17</t>
  </si>
  <si>
    <t>70-B3-D5-1F-31-AA-04-18</t>
  </si>
  <si>
    <t>70-B3-D5-1F-31-AA-04-19</t>
  </si>
  <si>
    <t>70-B3-D5-1F-31-AA-04-20</t>
  </si>
  <si>
    <t>70-B3-D5-1F-31-AA-04-21</t>
  </si>
  <si>
    <t>70-B3-D5-1F-31-AA-04-22</t>
  </si>
  <si>
    <t>70-B3-D5-1F-31-AA-04-23</t>
  </si>
  <si>
    <t>70-B3-D5-1F-31-AA-04-24</t>
  </si>
  <si>
    <t>70-B3-D5-1F-31-AA-04-25</t>
  </si>
  <si>
    <t>70-B3-D5-1F-31-AA-04-26</t>
  </si>
  <si>
    <t>70-B3-D5-1F-31-AA-04-27</t>
  </si>
  <si>
    <t>70-B3-D5-1F-31-AA-04-28</t>
  </si>
  <si>
    <t>70-B3-D5-1F-31-AA-04-29</t>
  </si>
  <si>
    <t>70-B3-D5-1F-31-AA-04-30</t>
  </si>
  <si>
    <t>70-B3-D5-1F-31-AA-04-31</t>
  </si>
  <si>
    <t>70-B3-D5-1F-31-AA-04-32</t>
  </si>
  <si>
    <t>70-B3-D5-1F-31-AA-04-33</t>
  </si>
  <si>
    <t>70-B3-D5-1F-31-AA-04-34</t>
  </si>
  <si>
    <t>70-B3-D5-1F-31-AA-04-35</t>
  </si>
  <si>
    <t>70-B3-D5-1F-31-AA-04-36</t>
  </si>
  <si>
    <t>2BCE522907143A6D007B7028396EDB4C</t>
  </si>
  <si>
    <t>7479734a803a7ad30b5f0ae865521752</t>
  </si>
  <si>
    <t>MIIBrjCCAVSgAwIBAgIQdHlzSoA6etMLXwroZVIXUjAKBggqhkjOPQQDAjAaMQswCQYDVQQLEwIwNzELMAkGA1UEAxMCVTIwHhcNMjQwNTI5MTE0MTI3WhcNMzQwNTI5MTE0MTI3WjA9MRowGAYDVQQDDBFJbXBvcnQgU3VwcGxpZXIgMTELMAkGA1UECwwCMDIxEjAQBgNVBC0DCQBws9UfMaoENjBZMBMGByqGSM49AgEGCCqGSM49AwEHA0IABOo5jimzhyLn1xqX2qE3lz8ZeB2kgaAwrXOG3xpr7fpNvyq7J5dkiRkdLt32DMSzyXgFzLU/W25PW5R33F2O6YSjWTBXMA4GA1UdDwEB/wQEAwIHgDARBgNVHQ4ECgQIT0APLPYRqEIwHQYDVR0gAQH/BBMwETAPBg0qhjoAAYSPuQ8BAgEEMBMGA1UdIwQMMAqACEhofZsl+dr8MAoGCCqGSM49BAMCA0gAMEUCIQDEt6EFWw0o6011qURJF+SPHeIR6j9bdyvq8Q2teM0dVQIgCJCMw7/6WtqX5Eo8wbFJcEldDeKOSMwHi9KwZliaMoI=</t>
  </si>
  <si>
    <t>788bb18460dd4b4d822e668ead9e3007</t>
  </si>
  <si>
    <t>MIIBrTCCAVSgAwIBAgIQeIuxhGDdS02CLmaOrZ4wBzAKBggqhkjOPQQDAjAaMQswCQYDVQQLEwIwNzELMAkGA1UEAxMCVTIwHhcNMjQwNTMwMTAzMjExWhcNMzQwNTMwMTAzMjExWjA9MRowGAYDVQQDDBFJbXBvcnQgU3VwcGxpZXIgMTELMAkGA1UECwwCMDIxEjAQBgNVBC0DCQBws9UfMaoENjBZMBMGByqGSM49AgEGCCqGSM49AwEHA0IABOo5jimzhyLn1xqX2qE3lz8ZeB2kgaAwrXOG3xpr7fpNvyq7J5dkiRkdLt32DMSzyXgFzLU/W25PW5R33F2O6YSjWTBXMA4GA1UdDwEB/wQEAwIDCDARBgNVHQ4ECgQIT0APLPYRqEIwHQYDVR0gAQH/BBMwETAPBg0qhjoAAYSPuQ8BAgEEMBMGA1UdIwQMMAqACEhofZsl+dr8MAoGCCqGSM49BAMCA0cAMEQCIGU2F3+7VECC017I4Q327sWFZN2JWfdMS0DFixh9XycLAiA8LmvycwIhtSXoAuXr5ZPz0H88T731VA8POC4AW9s6aQ==</t>
  </si>
  <si>
    <t>156e9e82653881bb7e5022dc81355dc7</t>
  </si>
  <si>
    <t>MIIBrjCCAVSgAwIBAgIQFW6egmU4gbt+UCLcgTVdxzAKBggqhkjOPQQDAjAaMQswCQYDVQQLEwIwNzELMAkGA1UEAxMCVTIwHhcNMjQwNTMwMTAzMDQ2WhcNMzQwNTMwMTAzMDQ2WjA9MRowGAYDVQQDDBFJbXBvcnQgU3VwcGxpZXIgMTELMAkGA1UECwwCMDIxEjAQBgNVBC0DCQBws9UfMaoENjBZMBMGByqGSM49AgEGCCqGSM49AwEHA0IABOo5jimzhyLn1xqX2qE3lz8ZeB2kgaAwrXOG3xpr7fpNvyq7J5dkiRkdLt32DMSzyXgFzLU/W25PW5R33F2O6YSjWTBXMA4GA1UdDwEB/wQEAwIDCDARBgNVHQ4ECgQIT0APLPYRqEIwHQYDVR0gAQH/BBMwETAPBg0qhjoAAYSPuQ8BAgEEMBMGA1UdIwQMMAqACEhofZsl+dr8MAoGCCqGSM49BAMCA0gAMEUCIQDc3UXHHj1Xfbej/nf1G4p+p2Gvgibmj901AiLQ3f5x/AIgUU/Vjx5lka7e8mH0V8MIp1urIWA9kGLcLlOhUpuDxBY=</t>
  </si>
  <si>
    <t>EUCT</t>
  </si>
  <si>
    <t>70-B3-D5-1F-31-AA-04-37</t>
  </si>
  <si>
    <t>16636522873800603361676927913002884467</t>
  </si>
  <si>
    <t>550561cb421b473b306b9d61b828efb2</t>
  </si>
  <si>
    <t>MIIBrzCCAVSgAwIBAgIQVQVhy0IbRzswa51huCjvsjAKBggqhkjOPQQDAjAaMQswCQYDVQQLEwIwNzELMAkGA1UEAxMCVTIwHhcNMjQwNzA4MDc1NzE1WhcNMzQwNzA4MDc1NzE1WjA9MRowGAYDVQQDDBFJbXBvcnQgU3VwcGxpZXIgMjELMAkGA1UECwwCMDIxEjAQBgNVBC0DCQBws9UfMaoENzBZMBMGByqGSM49AgEGCCqGSM49AwEHA0IABOo5jimzhyLn1xqX2qE3lz8ZeB2kgaAwrXOG3xpr7fpNvyq7J5dkiRkdLt32DMSzyXgFzLU/W25PW5R33F2O6YSjWTBXMA4GA1UdDwEB/wQEAwIHgDARBgNVHQ4ECgQIT0APLPYRqEIwHQYDVR0gAQH/BBMwETAPBg0qhjoAAYSPuQ8BAgEEMBMGA1UdIwQMMAqACEhofZsl+dr8MAoGCCqGSM49BAMCA0kAMEYCIQC8RlhUV2cjhimb1xEHiJugOE8TCZQuTYrAqPVgF4lRowIhAJUMtWagoSPZf2ZKKQqhjPSjTrju3c3IGlaqpZSwkv+W</t>
  </si>
  <si>
    <t>6f71f302cf9477fb3013b5ac8bbb88d9</t>
  </si>
  <si>
    <t>MIIBrzCCAVSgAwIBAgIQb3HzAs+Ud/swE7Wsi7uI2TAKBggqhkjOPQQDAjAaMQswCQYDVQQLEwIwNzELMAkGA1UEAxMCVTIwHhcNMjQwNzA4MDc1MDA4WhcNMzQwNzA4MDc1MDA4WjA9MRowGAYDVQQDDBFJbXBvcnQgU3VwcGxpZXIgMjELMAkGA1UECwwCMDIxEjAQBgNVBC0DCQBws9UfMaoENzBZMBMGByqGSM49AgEGCCqGSM49AwEHA0IABOo5jimzhyLn1xqX2qE3lz8ZeB2kgaAwrXOG3xpr7fpNvyq7J5dkiRkdLt32DMSzyXgFzLU/W25PW5R33F2O6YSjWTBXMA4GA1UdDwEB/wQEAwIDCDARBgNVHQ4ECgQIT0APLPYRqEIwHQYDVR0gAQH/BBMwETAPBg0qhjoAAYSPuQ8BAgEEMBMGA1UdIwQMMAqACEhofZsl+dr8MAoGCCqGSM49BAMCA0kAMEYCIQCVv8jlpVSQVOH1oVQABP4SM6obun9jBCBxT1S/iNqN3wIhANK6uEi9Kda/7JQHIRdRLu1RcI5bx7p82EFpUuGpZjRm</t>
  </si>
  <si>
    <t>7ac3237e8f51acf75699178ae4ef0d19</t>
  </si>
  <si>
    <t>MIIBrjCCAVSgAwIBAgIQesMjfo9RrPdWmReK5O8NGTAKBggqhkjOPQQDAjAaMQswCQYDVQQLEwIwNzELMAkGA1UEAxMCVTIwHhcNMjQwNzA4MDc1NzA0WhcNMzQwNzA4MDc1NzA0WjA9MRowGAYDVQQDDBFJbXBvcnQgU3VwcGxpZXIgMjELMAkGA1UECwwCMDIxEjAQBgNVBC0DCQBws9UfMaoENzBZMBMGByqGSM49AgEGCCqGSM49AwEHA0IABOo5jimzhyLn1xqX2qE3lz8ZeB2kgaAwrXOG3xpr7fpNvyq7J5dkiRkdLt32DMSzyXgFzLU/W25PW5R33F2O6YSjWTBXMA4GA1UdDwEB/wQEAwIDCDARBgNVHQ4ECgQIT0APLPYRqEIwHQYDVR0gAQH/BBMwETAPBg0qhjoAAYSPuQ8BAgEEMBMGA1UdIwQMMAqACEhofZsl+dr8MAoGCCqGSM49BAMCA0gAMEUCIFR7bUBRKqhbXFDo+5JlAwCFnz9reeKLlbd8pqxN0Gu4AiEAv66WuUKkZLPbXx3HRnmj4e0PtcVOBTN+gWkN/nuKhMA=</t>
  </si>
  <si>
    <t>70-B3-D5-1F-31-AA-04-38</t>
  </si>
  <si>
    <t>70-B3-D5-1F-31-AA-04-39</t>
  </si>
  <si>
    <t>1B3F26CA5F8F2C8B370F3BCA586BFAF7</t>
  </si>
  <si>
    <t>70-B3-D5-1F-31-AA-04-40</t>
  </si>
  <si>
    <t>5B90928FAAFAB75B8E63495B35436620</t>
  </si>
  <si>
    <t>70-B3-D5-1F-31-AA-04-41</t>
  </si>
  <si>
    <t>40b3795ce77a965fc9bf84af754a3585</t>
  </si>
  <si>
    <t>788102356b64517d3da7f05ae207f6e8</t>
  </si>
  <si>
    <t>MIIBtDCCAVqgAwIBAgIQeIECNWtkUX09p/Ba4gf26DAKBggqhkjOPQQDAjAaMQswCQYDVQQLEwIwNzELMAkGA1UEAxMCVTIwHhcNMjQwNzA0MDkxMjA5WhcNMzQwNzA0MDkxMjA5WjBDMSAwHgYDVQQDDBdFbGVjdHJpY2l0eSBEaXN0cmlidXRvcjELMAkGA1UECwwCMDIxEjAQBgNVBC0DCQBws9UfMaoEQTBZMBMGByqGSM49AgEGCCqGSM49AwEHA0IABOo5jimzhyLn1xqX2qE3lz8ZeB2kgaAwrXOG3xpr7fpNvyq7J5dkiRkdLt32DMSzyXgFzLU/W25PW5R33F2O6YSjWTBXMA4GA1UdDwEB/wQEAwIHgDARBgNVHQ4ECgQIT0APLPYRqEIwHQYDVR0gAQH/BBMwETAPBg0qhjoAAYSPuQ8BAgEEMBMGA1UdIwQMMAqACEhofZsl+dr8MAoGCCqGSM49BAMCA0gAMEUCIDYBR0OJBYijoQBhsSyOs66c2fOBrdDrBAfsUW4xsqizAiEA+0JpgZXkwQ8GdeWzIvGRC0zR2SazFz7a/77J6HWyjzs=</t>
  </si>
  <si>
    <t>6af8396b9bdc5d7d3ec1927e2823217d</t>
  </si>
  <si>
    <t>MIIBtDCCAVqgAwIBAgIQavg5a5vcXX0+wZJ+KCMhfTAKBggqhkjOPQQDAjAaMQswCQYDVQQLEwIwNzELMAkGA1UEAxMCVTIwHhcNMjQwNzA0MDkxMDM2WhcNMzQwNzA0MDkxMDM2WjBDMSAwHgYDVQQDDBdFbGVjdHJpY2l0eSBEaXN0cmlidXRvcjELMAkGA1UECwwCMDIxEjAQBgNVBC0DCQBws9UfMaoEQTBZMBMGByqGSM49AgEGCCqGSM49AwEHA0IABOo5jimzhyLn1xqX2qE3lz8ZeB2kgaAwrXOG3xpr7fpNvyq7J5dkiRkdLt32DMSzyXgFzLU/W25PW5R33F2O6YSjWTBXMA4GA1UdDwEB/wQEAwIDCDARBgNVHQ4ECgQIT0APLPYRqEIwHQYDVR0gAQH/BBMwETAPBg0qhjoAAYSPuQ8BAgEEMBMGA1UdIwQMMAqACEhofZsl+dr8MAoGCCqGSM49BAMCA0gAMEUCIQDM6WsHmC11NCscW1IjjDFgsCgsMesd2JxROVeb64P48QIgNdpYeo8l/adLQTgVRFLaxkqcXgQ3O3xdLaj4thRy6F0=</t>
  </si>
  <si>
    <t>70-B3-D5-1F-31-AA-04-42</t>
  </si>
  <si>
    <t>Complete - 06.11.24</t>
  </si>
  <si>
    <t>70-B3-D5-1F-31-AA-04-43</t>
  </si>
  <si>
    <t>70-B3-D5-1F-31-AA-04-44</t>
  </si>
  <si>
    <t>70-B3-D5-1F-31-AA-04-45</t>
  </si>
  <si>
    <t>70-B3-D5-1F-31-AA-04-46</t>
  </si>
  <si>
    <t>70-B3-D5-1F-31-AA-04-47</t>
  </si>
  <si>
    <t>70-B3-D5-1F-31-AA-04-48</t>
  </si>
  <si>
    <t>70-B3-D5-1F-31-AA-04-49</t>
  </si>
  <si>
    <t>70-B3-D5-1F-31-AA-04-50</t>
  </si>
  <si>
    <t>70-B3-D5-1F-31-AA-04-51</t>
  </si>
  <si>
    <t>70-B3-D5-1F-31-AA-04-52</t>
  </si>
  <si>
    <t>70-B3-D5-1F-31-AA-04-53</t>
  </si>
  <si>
    <t>70-B3-D5-1F-31-AA-04-54</t>
  </si>
  <si>
    <t>5d0e83d2378ef780abb4fb94a683e015</t>
  </si>
  <si>
    <t>MIIBrjCCAVSgAwIBAgIQXQ6D0jeO94CrtPuUpoPgFTAKBggqhkjOPQQDAjAaMQswCQYDVQQLEwIwNzELMAkGA1UEAxMCVTIwHhcNMjQwNzA0MDg1ODAzWhcNMzQwNzA0MDg1ODAzWjA9MRowGAYDVQQDDBFJbXBvcnQgU3VwcGxpZXIgMTELMAkGA1UECwwCMDIxEjAQBgNVBC0DCQBws9UfMaoEVDBZMBMGByqGSM49AgEGCCqGSM49AwEHA0IABOo5jimzhyLn1xqX2qE3lz8ZeB2kgaAwrXOG3xpr7fpNvyq7J5dkiRkdLt32DMSzyXgFzLU/W25PW5R33F2O6YSjWTBXMA4GA1UdDwEB/wQEAwIHgDARBgNVHQ4ECgQIT0APLPYRqEIwHQYDVR0gAQH/BBMwETAPBg0qhjoAAYSPuQ8BAgEEMBMGA1UdIwQMMAqACEhofZsl+dr8MAoGCCqGSM49BAMCA0gAMEUCIQDv4TLAhUZg80/pV27qHNG3+vxkp5c3pKaF+FAg7WhAUwIgPVDzgq/VX6TY3p3xuJin7Sep6tCZcpw8Jt1oQsPEDyw=</t>
  </si>
  <si>
    <t>187fcbf49abb11f7366bde6ad45a1c98</t>
  </si>
  <si>
    <t>MIIBrjCCAVSgAwIBAgIQGH/L9Jq7Efc2a95q1FocmDAKBggqhkjOPQQDAjAaMQswCQYDVQQLEwIwNzELMAkGA1UEAxMCVTIwHhcNMjQwNzA0MDg1NzQ1WhcNMzQwNzA0MDg1NzQ1WjA9MRowGAYDVQQDDBFJbXBvcnQgU3VwcGxpZXIgMTELMAkGA1UECwwCMDIxEjAQBgNVBC0DCQBws9UfMaoEVDBZMBMGByqGSM49AgEGCCqGSM49AwEHA0IABOo5jimzhyLn1xqX2qE3lz8ZeB2kgaAwrXOG3xpr7fpNvyq7J5dkiRkdLt32DMSzyXgFzLU/W25PW5R33F2O6YSjWTBXMA4GA1UdDwEB/wQEAwIDCDARBgNVHQ4ECgQIT0APLPYRqEIwHQYDVR0gAQH/BBMwETAPBg0qhjoAAYSPuQ8BAgEEMBMGA1UdIwQMMAqACEhofZsl+dr8MAoGCCqGSM49BAMCA0gAMEUCIEy4DxlDCoaT4k7SZ+Us7L0pLb/iNBgBkZCSF+yCoNt2AiEA3XPGS8OOovWnPJ4jGatOdr5FDr56mF1zVlLbBbaK0jI=</t>
  </si>
  <si>
    <t>7ea8b2b2059afae861921a44211541c4</t>
  </si>
  <si>
    <t>MIIBrjCCAVSgAwIBAgIQfqiysgWa+uhhkhpEIRVBxDAKBggqhkjOPQQDAjAaMQswCQYDVQQLEwIwNzELMAkGA1UEAxMCVTIwHhcNMjQwNzA0MDg1NzUzWhcNMzQwNzA0MDg1NzUzWjA9MRowGAYDVQQDDBFJbXBvcnQgU3VwcGxpZXIgMTELMAkGA1UECwwCMDIxEjAQBgNVBC0DCQBws9UfMaoEVDBZMBMGByqGSM49AgEGCCqGSM49AwEHA0IABOo5jimzhyLn1xqX2qE3lz8ZeB2kgaAwrXOG3xpr7fpNvyq7J5dkiRkdLt32DMSzyXgFzLU/W25PW5R33F2O6YSjWTBXMA4GA1UdDwEB/wQEAwIDCDARBgNVHQ4ECgQIT0APLPYRqEIwHQYDVR0gAQH/BBMwETAPBg0qhjoAAYSPuQ8BAgEEMBMGA1UdIwQMMAqACEhofZsl+dr8MAoGCCqGSM49BAMCA0gAMEUCIQCtD3nbG0b8K52BXZyOhUnw0eY2vCD0CKNmAHYcJkdMzgIgepFzNSISUNIAGxUJDLBDuOniH+grJ0/CRx64ZoKoETA=</t>
  </si>
  <si>
    <t>70-B3-D5-1F-31-AA-04-55</t>
  </si>
  <si>
    <t>70-B3-D5-1F-31-AA-04-56</t>
  </si>
  <si>
    <t>70-B3-D5-1F-31-AA-04-57</t>
  </si>
  <si>
    <t>70-B3-D5-1F-31-AA-04-58</t>
  </si>
  <si>
    <t>70-B3-D5-1F-31-AA-04-59</t>
  </si>
  <si>
    <t>70-B3-D5-1F-31-AA-04-60</t>
  </si>
  <si>
    <t>70-B3-D5-1F-31-AA-04-61</t>
  </si>
  <si>
    <t>70-B3-D5-1F-31-AA-04-62</t>
  </si>
  <si>
    <t>70-B3-D5-1F-31-AA-04-63</t>
  </si>
  <si>
    <t>MPAN</t>
  </si>
  <si>
    <t>Count</t>
  </si>
  <si>
    <t>Current Supplier Association</t>
  </si>
  <si>
    <t>Device GUID</t>
  </si>
  <si>
    <t>Meter Set Name</t>
  </si>
  <si>
    <t>H-DTAF-046-UB</t>
  </si>
  <si>
    <t>00-1D-24-02-01-16-63-A5</t>
  </si>
  <si>
    <t>H-DTAF-031-UB</t>
  </si>
  <si>
    <t>98-B1-77-FF-FF-50-DF-4B</t>
  </si>
  <si>
    <t>1C-23-4F-00-00-04-37-15</t>
  </si>
  <si>
    <t>H-DTAF-050-UB</t>
  </si>
  <si>
    <t>98-B1-77-FF-FF-50-DF-00</t>
  </si>
  <si>
    <t>98-B1-77-FF-FF-36-D0-E1</t>
  </si>
  <si>
    <t>H-DTAF-048-UB</t>
  </si>
  <si>
    <t>98-B1-77-FF-FF-36-F8-4A</t>
  </si>
  <si>
    <t>H-DTAF-034-UB</t>
  </si>
  <si>
    <t>00-1D-24-02-01-16-63-A3</t>
  </si>
  <si>
    <t>H-DTAF-051-UB</t>
  </si>
  <si>
    <t>00-1D-24-02-01-16-63-A8</t>
  </si>
  <si>
    <t>H-DTAF-052-UB</t>
  </si>
  <si>
    <t>98-B1-77-FF-FF-36-D0-A1</t>
  </si>
  <si>
    <t>H-DTAF-049-UB</t>
  </si>
  <si>
    <t>1C-23-4F-00-00-03-EB-BC</t>
  </si>
  <si>
    <t>H-DTAF-053-UB</t>
  </si>
  <si>
    <t>00-1D-24-02-01-30-96-51</t>
  </si>
  <si>
    <t>H-DTAF-093-UB</t>
  </si>
  <si>
    <t>00-1D-24-02-01-1B-22-4D</t>
  </si>
  <si>
    <t>H-DTAF-100-UB</t>
  </si>
  <si>
    <t>98-B1-77-FF-FF-50-DE-DB</t>
  </si>
  <si>
    <t>H-DTAF-012-UB</t>
  </si>
  <si>
    <t>H-DTAF-004-UB</t>
  </si>
  <si>
    <t>98-B1-77-FF-FF-50-DF-01</t>
  </si>
  <si>
    <t>H-DTAF-030-UB</t>
  </si>
  <si>
    <t>Has ACB certs</t>
  </si>
  <si>
    <t>98-B1-77-FF-FF-50-DF-22</t>
  </si>
  <si>
    <t>H-DTAF-019-UB</t>
  </si>
  <si>
    <t>This has certs for 04-36 in Device.</t>
  </si>
  <si>
    <t>E4 when sending 6.23</t>
  </si>
  <si>
    <t>00-1D-24-02-01-16-63-A6</t>
  </si>
  <si>
    <t>H-DTAF-101-UA</t>
  </si>
  <si>
    <t>1C-23-4F-00-00-19-34-48</t>
  </si>
  <si>
    <t>98-B1-77-FF-FF-36-D0-81</t>
  </si>
  <si>
    <t>00-1D-24-02-01-30-96-56</t>
  </si>
  <si>
    <t>TLO - TAF test set</t>
  </si>
  <si>
    <t>98-B1-77-FF-FF-50-DE-CD</t>
  </si>
  <si>
    <t>H-DTAF-017-UB</t>
  </si>
  <si>
    <t>This has certs for 04-45 in Device</t>
  </si>
  <si>
    <t>11.2 also successful</t>
  </si>
  <si>
    <t>98-B1-77-FF-FF-50-DE-ED</t>
  </si>
  <si>
    <t>H-DTAF-008-UB</t>
  </si>
  <si>
    <t>98-B1-77-FF-FF-50-DE-FD</t>
  </si>
  <si>
    <t>H-DTAF-007-UB</t>
  </si>
  <si>
    <t>98-B1-77-FF-FF-50-DE-E1</t>
  </si>
  <si>
    <t>H-DTAF-018-UB</t>
  </si>
  <si>
    <t>98-B1-77-FF-FF-50-DE-EA</t>
  </si>
  <si>
    <t>H-DTAF-009-UB</t>
  </si>
  <si>
    <t>98-B1-77-FF-FF-50-DE-F7</t>
  </si>
  <si>
    <t>H-DTAF-010-UB</t>
  </si>
  <si>
    <t>No response to 6.24.1</t>
  </si>
  <si>
    <t>70-B3-D5-1F-31-AA-04-27:98-B1-77-FF-FF-50-DE-F7:113249529793375359</t>
  </si>
  <si>
    <t>98-B1-77-FF-FF-50-DE-DC</t>
  </si>
  <si>
    <t>H-DTAF-016-UB</t>
  </si>
  <si>
    <t>00-1D-24-02-01-30-96-61</t>
  </si>
  <si>
    <t>Used</t>
  </si>
  <si>
    <r>
      <rPr>
        <sz val="11"/>
        <color rgb="FF000000"/>
        <rFont val="Aptos Narrow"/>
        <family val="2"/>
        <scheme val="minor"/>
      </rPr>
      <t xml:space="preserve">Provided this MPAN for error checking if we can add two post code- </t>
    </r>
    <r>
      <rPr>
        <b/>
        <sz val="11"/>
        <color rgb="FF000000"/>
        <rFont val="Aptos Narrow"/>
        <family val="2"/>
        <scheme val="minor"/>
      </rPr>
      <t>Not to be used for commissioning</t>
    </r>
  </si>
  <si>
    <t>98-B1-77-FF-FF-50-DF-56</t>
  </si>
  <si>
    <t>H-DTAF-023-UB</t>
  </si>
  <si>
    <t>98-B1-77-FF-FF-50-DF-67</t>
  </si>
  <si>
    <t>H-DTAF-026-UB</t>
  </si>
  <si>
    <t>98-B1-77-FF-FF-50-DF-43</t>
  </si>
  <si>
    <t>H-DTAF-022-UB</t>
  </si>
  <si>
    <t>98-B1-77-FF-FF-50-DF-75</t>
  </si>
  <si>
    <t>H-DTAF-025-UB</t>
  </si>
  <si>
    <t>98-B1-77-FF-FF-50-DF-49</t>
  </si>
  <si>
    <t>H-DTAF-020-UB</t>
  </si>
  <si>
    <t>98-B1-77-FF-FF-50-DF-4D</t>
  </si>
  <si>
    <t>H-DTAF-028-UB</t>
  </si>
  <si>
    <t>70-B3-D5-1F-31-AA-04-09:98-B1-77-FF-FF-50-DF-4D:113249444921579762</t>
  </si>
  <si>
    <t>1C-23-4F-00-00-18-DA-8B</t>
  </si>
  <si>
    <t>H-DTAF-005-UB</t>
  </si>
  <si>
    <t>98-B1-77-FF-FF-50-DF-1B</t>
  </si>
  <si>
    <t>H-DTAF-029-UB</t>
  </si>
  <si>
    <t>98-B1-77-FF-FF-50-DF-42</t>
  </si>
  <si>
    <t>H-DTAF-021-UB</t>
  </si>
  <si>
    <t>H-DTAF-024-UB</t>
  </si>
  <si>
    <t>H-DTAF-042-UB</t>
  </si>
  <si>
    <t>00-1D-24-02-01-16-63-AC</t>
  </si>
  <si>
    <t>H-DTAF-078-UB</t>
  </si>
  <si>
    <t>ESME Emulator</t>
  </si>
  <si>
    <t>H-DTAF-006-UB</t>
  </si>
  <si>
    <t>IN USE</t>
  </si>
  <si>
    <t>98-B1-77-FF-FF-50-DF-16</t>
  </si>
  <si>
    <t>H-DTAF-015-UB</t>
  </si>
  <si>
    <t>1C-23-4F-00-00-18-56-1C</t>
  </si>
  <si>
    <t>H-DTAF-001-UB</t>
  </si>
  <si>
    <t>98-B1-77-FF-FF-50-DE-D7</t>
  </si>
  <si>
    <t>H-DTAF-014-UB</t>
  </si>
  <si>
    <t>98-B1-77-FF-FF-50-DF-50</t>
  </si>
  <si>
    <t>H-DTAF-013-UB</t>
  </si>
  <si>
    <t>1C-23-4F-00-00-18-0A-C8</t>
  </si>
  <si>
    <t>H-DTAF-003-UB</t>
  </si>
  <si>
    <t>98-B1-77-FF-FF-50-DE-DD</t>
  </si>
  <si>
    <t>98-B1-77-FF-FF-50-DE-FE</t>
  </si>
  <si>
    <t>H-DTAF-027-UB</t>
  </si>
  <si>
    <t>98-B1-77-FF-FF-50-DD-D7</t>
  </si>
  <si>
    <t>H-DTAF-002-UB</t>
  </si>
  <si>
    <t>98-B1-77-FF-FF-50-DE-F6</t>
  </si>
  <si>
    <t>H-DTAF-011-UB</t>
  </si>
  <si>
    <t>MPRN</t>
  </si>
  <si>
    <t>COUNT</t>
  </si>
  <si>
    <t>Meterset Name</t>
  </si>
  <si>
    <t>90-4D-C3-00-00-14-C0-CE</t>
  </si>
  <si>
    <t>90-4D-C3-00-00-10-45-D4</t>
  </si>
  <si>
    <t>44-11-02-00-00-20-EB-A5</t>
  </si>
  <si>
    <t>44-11-02-00-00-29-03-58</t>
  </si>
  <si>
    <t>98-B1-77-FF-FF-54-AA-EF</t>
  </si>
  <si>
    <t>98-B1-77-FF-FF-62-12-FD</t>
  </si>
  <si>
    <t>44-11-02-00-00-2C-B9-0F</t>
  </si>
  <si>
    <t>44-11-02-00-00-20-ED-CB</t>
  </si>
  <si>
    <t>90-4D-C3-00-00-12-A5-16</t>
  </si>
  <si>
    <t>44-11-02-00-00-19-65-0A</t>
  </si>
  <si>
    <t>44-11-02-00-00-22-44-CA</t>
  </si>
  <si>
    <t>90-4D-C3-00-00-10-45-D7</t>
  </si>
  <si>
    <t>44-11-02-00-00-28-AF-8A</t>
  </si>
  <si>
    <t>44-11-02-00-00-28-D9-1B</t>
  </si>
  <si>
    <t>44-11-02-00-00-27-5D-59</t>
  </si>
  <si>
    <t>44-11-02-00-00-28-92-5E</t>
  </si>
  <si>
    <t>90-4D-C3-00-00-12-A5-0E</t>
  </si>
  <si>
    <t>98-B1-77-FF-FF-62-4B-F0</t>
  </si>
  <si>
    <t>44-11-02-00-00-19-E7-DB</t>
  </si>
  <si>
    <t>90-4D-C3-00-00-0F-10-89</t>
  </si>
  <si>
    <t>90-4D-C3-00-00-0F-10-6E</t>
  </si>
  <si>
    <t>90-4D-C3-00-00-0F-10-7C</t>
  </si>
  <si>
    <t>90-4D-C3-00-00-0F-10-92</t>
  </si>
  <si>
    <t>90-4D-C3-00-00-0F-10-8C</t>
  </si>
  <si>
    <t>44-11-02-00-00-28-91-AC</t>
  </si>
  <si>
    <t>90-4D-C3-00-00-0F-10-6B</t>
  </si>
  <si>
    <t>90-4D-C3-00-00-0F-10-88</t>
  </si>
  <si>
    <t>90-4D-C3-00-00-11-DB-11</t>
  </si>
  <si>
    <t>44-11-02-00-00-28-92-B6</t>
  </si>
  <si>
    <t>90-4D-C3-00-00-10-45-D6</t>
  </si>
  <si>
    <t>90-4D-C3-00-00-10-45-F8</t>
  </si>
  <si>
    <t>90-4D-C3-00-00-10-45-D5</t>
  </si>
  <si>
    <t>90-4D-C3-00-00-10-45-D9</t>
  </si>
  <si>
    <t>90-4D-C3-00-00-10-45-EC</t>
  </si>
  <si>
    <t>90-4D-C3-00-00-10-45-EF</t>
  </si>
  <si>
    <t>90-4D-C3-00-00-10-45-EE</t>
  </si>
  <si>
    <t>90-4D-C3-00-00-10-45-D3</t>
  </si>
  <si>
    <t>90-4D-C3-00-00-10-45-DC</t>
  </si>
  <si>
    <t>44-11-02-00-00-2C-AF-28</t>
  </si>
  <si>
    <t>Matt_Triage</t>
  </si>
  <si>
    <t>MATT</t>
  </si>
  <si>
    <t>Status</t>
  </si>
  <si>
    <t>Service Group</t>
  </si>
  <si>
    <t>Priority</t>
  </si>
  <si>
    <t>IP</t>
  </si>
  <si>
    <t>Port</t>
  </si>
  <si>
    <t>URL</t>
  </si>
  <si>
    <t>Use</t>
  </si>
  <si>
    <t>Working</t>
  </si>
  <si>
    <t>UIT-A (replicates to B)</t>
  </si>
  <si>
    <t>SMKI Portal</t>
  </si>
  <si>
    <t>Yes</t>
  </si>
  <si>
    <t>c.d.127.71</t>
  </si>
  <si>
    <t>smki-org.uit.tsp.dccinterface.co.uk</t>
  </si>
  <si>
    <t>Organisation Subscriber Portal Landing Page (HTTPS - Server Side Authentication only)</t>
  </si>
  <si>
    <t>Working now</t>
  </si>
  <si>
    <t>smki-org-app.uit.tsp.dccinterface.co.uk</t>
  </si>
  <si>
    <t>Organisation Subscriber Portal Landing Page (HTTPS - Mutual Authentication using IKI)</t>
  </si>
  <si>
    <t>c.d.127.72</t>
  </si>
  <si>
    <t>smki-device.uit.tsp.dccinterface.co.uk</t>
  </si>
  <si>
    <t>Device Subscriber Portal Landing page (HTTPS – Server Side Authentication only)</t>
  </si>
  <si>
    <t>smki-device-app.uit.tsp.dccinterface.co.uk</t>
  </si>
  <si>
    <t>Device Subscriber Portal and Batch Device CSR web service (HTTPS – Mutual Authentication using IKI)</t>
  </si>
  <si>
    <t>Not working</t>
  </si>
  <si>
    <t>c.d.127.73</t>
  </si>
  <si>
    <t>smki-s2s.uit.tsp.dccinterface.co.uk</t>
  </si>
  <si>
    <t>Ad Hoc Device CSR web service (HTPPS – Mutual Authentication using IKI)</t>
  </si>
  <si>
    <t>working after host file updated. will set up in AWS resolution.</t>
  </si>
  <si>
    <t>SMKI Repo</t>
  </si>
  <si>
    <t>No</t>
  </si>
  <si>
    <t>a.b.40.67</t>
  </si>
  <si>
    <t>smki-repo.uit.dsp.dccinterface.co.uk</t>
  </si>
  <si>
    <t>SMKI Repository web portal and web services (HTTPS – Server Side only)</t>
  </si>
  <si>
    <t>working after host file updated(port 80). will set up in AWS resolution.</t>
  </si>
  <si>
    <t xml:space="preserve">SMKI Repository  SFTP Interface </t>
  </si>
  <si>
    <t>working after host file updated. will set up in AWS resolution. need to check with credentials.</t>
  </si>
  <si>
    <t>https://smki-repo.uit.dsp.dccinterface.co.uk/revocationlists/download/UA?apikey=&lt;user_api_key&gt;</t>
  </si>
  <si>
    <t>ARL</t>
  </si>
  <si>
    <t>https://smki-repo.uit.dsp.dccinterface.co.uk/revocationlists/download/U1?apikey=&lt;user_api_key&gt;</t>
  </si>
  <si>
    <t>CRL</t>
  </si>
  <si>
    <t>DCCKI Repo</t>
  </si>
  <si>
    <t>a.b.40.75</t>
  </si>
  <si>
    <t>http://dccki-repo.mktp.dsp.dccinterface.co.uk/</t>
  </si>
  <si>
    <t>DCCKI Certificate Repository</t>
  </si>
  <si>
    <t>a.b.40.107</t>
  </si>
  <si>
    <t>smki-repo.uitb.dsp.dccinterface.co.uk</t>
  </si>
  <si>
    <t>Connecting, but login userid, password not working</t>
  </si>
  <si>
    <t>https://smki-repo.uitb.dsp.dccinterface.co.uk/revocationlists/download/UA?apikey=&lt;user_api_key&gt;</t>
  </si>
  <si>
    <t>https://smki-repo.uitb.dsp.dccinterface.co.uk/revocationlists/download/U1?apikey=&lt;user_api_key&gt;</t>
  </si>
  <si>
    <t>a.b.40.108</t>
  </si>
  <si>
    <t>http://dccki-repo.mktpc.dsp.dccinterface.co.uk</t>
  </si>
  <si>
    <t>DCC User Interface (DUIS)</t>
  </si>
  <si>
    <t>a.b.40.76</t>
  </si>
  <si>
    <t>https://msggw.uit.dsp.dccinterface.co.uk/mgs/execute/3.0</t>
  </si>
  <si>
    <t>DCC Only Service</t>
  </si>
  <si>
    <t>https://msggw.uit.dsp.dccinterface.co.uk/mgs/transform/3.0</t>
  </si>
  <si>
    <t>Transform Service</t>
  </si>
  <si>
    <t>https://msggw.uit.dsp.dccinterface.co.uk/mgs/deliver/3.0</t>
  </si>
  <si>
    <t>Send Command Service</t>
  </si>
  <si>
    <t>https://msggw.uit.dsp.dccinterface.co.uk/mgs/execute/3.1</t>
  </si>
  <si>
    <t>https://msggw.uit.dsp.dccinterface.co.uk/mgs/transform/3.1</t>
  </si>
  <si>
    <t>https://msggw.uit.dsp.dccinterface.co.uk/mgs/deliver/3.1</t>
  </si>
  <si>
    <t>https://msggw.uit.dsp.dccinterface.co.uk/mgs/execute/4.0</t>
  </si>
  <si>
    <t>https://msggw.uit.dsp.dccinterface.co.uk/mgs/transform/4.0</t>
  </si>
  <si>
    <t>https://msggw.uit.dsp.dccinterface.co.uk/mgs/deliver/4.0</t>
  </si>
  <si>
    <t>https://msggw.uit.dsp.dccinterface.co.uk/mgs/execute/5.0</t>
  </si>
  <si>
    <t>https://msggw.uit.dsp.dccinterface.co.uk/mgs/transform/5.0</t>
  </si>
  <si>
    <t>https://msggw.uit.dsp.dccinterface.co.uk/mgs/deliver/5.0</t>
  </si>
  <si>
    <t>https://msggw.uit.dsp.dccinterface.co.uk/mgs/execute/5.1</t>
  </si>
  <si>
    <t>https://msggw.uit.dsp.dccinterface.co.uk/mgs/transform/5.1</t>
  </si>
  <si>
    <t>https://msggw.uit.dsp.dccinterface.co.uk/mgs/deliver/5.1</t>
  </si>
  <si>
    <t>https://msggw.uit.dsp.dccinterface.co.uk/mgs/execute/5.2</t>
  </si>
  <si>
    <t>https://msggw.uit.dsp.dccinterface.co.uk/mgs/transform/5.2</t>
  </si>
  <si>
    <t>https://msggw.uit.dsp.dccinterface.co.uk/mgs/deliver/5.2</t>
  </si>
  <si>
    <t>a.b.40.101</t>
  </si>
  <si>
    <t>Receive Response Service</t>
  </si>
  <si>
    <t>https://msggw.uitb.dsp.dccinterface.co.uk/mgs/execute/3.0</t>
  </si>
  <si>
    <t>https://msggw.uitb.dsp.dccinterface.co.uk/mgs/transform/3.0</t>
  </si>
  <si>
    <t>https://msggw.uitb.dsp.dccinterface.co.uk/mgs/deliver/3.0</t>
  </si>
  <si>
    <t>https://msggw.uitb.dsp.dccinterface.co.uk/mgs/execute/3.1</t>
  </si>
  <si>
    <t>https://msggw.uitb.dsp.dccinterface.co.uk/mgs/transform/3.1</t>
  </si>
  <si>
    <t>https://msggw.uitb.dsp.dccinterface.co.uk/mgs/deliver/3.1</t>
  </si>
  <si>
    <t>https://msggw.uitb.dsp.dccinterface.co.uk/mgs/execute/4.0</t>
  </si>
  <si>
    <t>https://msggw.uitb.dsp.dccinterface.co.uk/mgs/transform/4.0</t>
  </si>
  <si>
    <t>https://msggw.uitb.dsp.dccinterface.co.uk/mgs/deliver/4.0</t>
  </si>
  <si>
    <t>https://msggw.uitb.dsp.dccinterface.co.uk/mgs/execute/5.0</t>
  </si>
  <si>
    <t>https://msggw.uitb.dsp.dccinterface.co.uk/mgs/transform/5.0</t>
  </si>
  <si>
    <t>https://msggw.uitb.dsp.dccinterface.co.uk/mgs/deliver/5.0</t>
  </si>
  <si>
    <t>Telnet test was performed</t>
  </si>
  <si>
    <t>https://msggw.uitb.dsp.dccinterface.co.uk/mgs/execute/5.1</t>
  </si>
  <si>
    <t>https://msggw.uitb.dsp.dccinterface.co.uk/mgs/transform/5.1</t>
  </si>
  <si>
    <t>https://msggw.uitb.dsp.dccinterface.co.uk/mgs/deliver/5.1</t>
  </si>
  <si>
    <t>https://msggw.uitb.dsp.dccinterface.co.uk/mgs/execute/5.2</t>
  </si>
  <si>
    <t>https://msggw.uitb.dsp.dccinterface.co.uk/mgs/transform/5.2</t>
  </si>
  <si>
    <t>https://msggw.uitb.dsp.dccinterface.co.uk/mgs/deliver/5.2</t>
  </si>
  <si>
    <t>https://msggw.uitb.dsp.dccinterface.co.uk/mgs/execute/5.3</t>
  </si>
  <si>
    <t>https://msggw.uitb.dsp.dccinterface.co.uk/mgs/transform/5.3</t>
  </si>
  <si>
    <t>https://msggw.uitb.dsp.dccinterface.co.uk/mgs/deliver/5.3</t>
  </si>
  <si>
    <t>DS</t>
  </si>
  <si>
    <t>KA</t>
  </si>
  <si>
    <t>PPKA</t>
  </si>
  <si>
    <t>XMLSign</t>
  </si>
  <si>
    <t>Remote Party Role Code (Organisational Unit)</t>
  </si>
  <si>
    <t>Common Name</t>
  </si>
  <si>
    <t>Import Supplier</t>
  </si>
  <si>
    <t>02</t>
  </si>
  <si>
    <t>Import Supplier "x"</t>
  </si>
  <si>
    <t>Gas Supplier</t>
  </si>
  <si>
    <t>Gas Supplier "x"</t>
  </si>
  <si>
    <t>Export Supplier</t>
  </si>
  <si>
    <t>Electricity Distributor</t>
  </si>
  <si>
    <t>03</t>
  </si>
  <si>
    <t>Gas Transporter</t>
  </si>
  <si>
    <t>Registered Supplier Agent</t>
  </si>
  <si>
    <t>NA</t>
  </si>
  <si>
    <t>7F</t>
  </si>
  <si>
    <t>HCLT HCL</t>
  </si>
  <si>
    <t>Other User</t>
  </si>
  <si>
    <t>Meter Data Retriever</t>
  </si>
  <si>
    <t>Subject Common Name - see SEC Appendix B - "Organisation Certificate Profile"
Note - we've chosen to ignore the rules around population of "Common Name" as SMKI doesn't prevent it, it's useful to include and doesn't seem to impact any Device Behaviour.</t>
  </si>
  <si>
    <t>IS1</t>
  </si>
  <si>
    <t>IS2</t>
  </si>
  <si>
    <t>GS2</t>
  </si>
  <si>
    <t>GS1</t>
  </si>
  <si>
    <t>Role</t>
  </si>
  <si>
    <t>Import Supplier 1</t>
  </si>
  <si>
    <t>Import Supplier 2</t>
  </si>
  <si>
    <t>Gas Supplier 1</t>
  </si>
  <si>
    <t>Gas Supplier 2</t>
  </si>
  <si>
    <t>Determined Originator Name</t>
  </si>
  <si>
    <t>DUIS3.0</t>
  </si>
  <si>
    <t>DUIS3.1</t>
  </si>
  <si>
    <t>DUIS4.0</t>
  </si>
  <si>
    <t>DUIS5.0</t>
  </si>
  <si>
    <t>DUIS5.1</t>
  </si>
  <si>
    <t>DUIS5.2</t>
  </si>
  <si>
    <t>DUIS5.3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</si>
</sst>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4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1" xfId="0" applyFont="1" applyBorder="1"/>
    <xf numFmtId="1" fontId="4" fillId="0" borderId="1" xfId="0" applyNumberFormat="1" applyFont="1" applyBorder="1" applyAlignment="1">
      <alignment horizontal="left" vertical="top" wrapText="1"/>
    </xf>
    <xf numFmtId="0" fontId="0" fillId="0" borderId="1" xfId="0" applyBorder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1" applyAlignment="1">
      <alignment horizontal="left" vertical="top"/>
    </xf>
    <xf numFmtId="0" fontId="5" fillId="0" borderId="0" xfId="1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4" borderId="1" xfId="0" applyFont="1" applyFill="1" applyBorder="1"/>
    <xf numFmtId="164" fontId="0" fillId="0" borderId="1" xfId="0" applyNumberFormat="1" applyBorder="1" applyAlignment="1">
      <alignment horizontal="left" vertical="top"/>
    </xf>
    <xf numFmtId="0" fontId="8" fillId="5" borderId="1" xfId="0" applyFont="1" applyFill="1" applyBorder="1"/>
    <xf numFmtId="164" fontId="2" fillId="0" borderId="2" xfId="0" applyNumberFormat="1" applyFont="1" applyBorder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1" fillId="0" borderId="1" xfId="0" applyNumberFormat="1" applyFont="1" applyBorder="1" applyAlignment="1">
      <alignment vertical="center"/>
    </xf>
    <xf numFmtId="164" fontId="0" fillId="0" borderId="0" xfId="0" applyNumberFormat="1"/>
    <xf numFmtId="0" fontId="4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8" fillId="0" borderId="0" xfId="0" applyFont="1"/>
    <xf numFmtId="0" fontId="8" fillId="3" borderId="0" xfId="0" applyFont="1" applyFill="1"/>
    <xf numFmtId="0" fontId="8" fillId="6" borderId="0" xfId="0" applyFont="1" applyFill="1"/>
    <xf numFmtId="0" fontId="8" fillId="5" borderId="0" xfId="0" applyFont="1" applyFill="1"/>
    <xf numFmtId="0" fontId="8" fillId="4" borderId="0" xfId="0" applyFont="1" applyFill="1"/>
    <xf numFmtId="0" fontId="8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0" fillId="0" borderId="0" xfId="0" applyFont="1"/>
    <xf numFmtId="0" fontId="11" fillId="0" borderId="1" xfId="0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4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9" borderId="0" xfId="0" applyFill="1"/>
    <xf numFmtId="0" fontId="0" fillId="9" borderId="0" xfId="0" applyFill="1" applyAlignment="1">
      <alignment horizontal="left" vertical="top"/>
    </xf>
    <xf numFmtId="0" fontId="12" fillId="10" borderId="3" xfId="0" applyFont="1" applyFill="1" applyBorder="1"/>
    <xf numFmtId="0" fontId="13" fillId="0" borderId="0" xfId="0" applyFont="1"/>
    <xf numFmtId="0" fontId="8" fillId="4" borderId="3" xfId="0" applyFont="1" applyFill="1" applyBorder="1"/>
    <xf numFmtId="0" fontId="1" fillId="8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horizontal="left" vertical="top"/>
    </xf>
    <xf numFmtId="0" fontId="11" fillId="1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, Matt (DCC)" id="{594A3CF6-6A21-4DDC-BCB5-9BD9C750D8F6}" userId="S::Matthew.Day@smartdcc.co.uk::baa739ee-8143-42ba-8d08-a6bded6c2a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4-05-20T11:13:42.62" personId="{594A3CF6-6A21-4DDC-BCB5-9BD9C750D8F6}" id="{8ACED694-79E5-413E-880D-88BBEDB05BF4}">
    <text>These are not in the Connection Guidance Document, but there is a DUIS 3.1</text>
  </threadedComment>
  <threadedComment ref="B34" dT="2024-05-20T11:15:50.31" personId="{594A3CF6-6A21-4DDC-BCB5-9BD9C750D8F6}" id="{42C49799-3FC6-49AF-936B-C567A184C564}">
    <text>DUIS 5.3 not included against UIT-A as it is currently only available in B Stream</text>
  </threadedComment>
  <threadedComment ref="B39" dT="2024-05-20T11:12:27.29" personId="{594A3CF6-6A21-4DDC-BCB5-9BD9C750D8F6}" id="{657E0A3C-EA1E-4B71-AC11-B540B6A48382}">
    <text>These are not in the Connection Guidance Document, but there is a DUIS 3.1</text>
  </threadedComment>
</ThreadedComments>
</file>

<file path=xl/worksheets/_rels/sheet4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smki-repo.uitb.dsp.dccinterface.co.uk/revocationlists/download/UA?apikey=%3cuser_api_key%3e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smki-repo.uitb.dsp.dccinterface.co.uk/revocationlists/download/U1?apikey=%3cuser_api_key%3e" TargetMode="External"/><Relationship Id="rId1" Type="http://schemas.openxmlformats.org/officeDocument/2006/relationships/hyperlink" Target="http://dccki-repo.mktpc.dsp.dccinterface.co.uk/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://dccki-repo.mktp.dsp.dccinterface.co.uk/" TargetMode="External"/><Relationship Id="rId4" Type="http://schemas.openxmlformats.org/officeDocument/2006/relationships/hyperlink" Target="http://smki-repo.uitb.dsp.dccinterface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7A54-9A14-4205-9089-936B8ADF19D2}">
  <sheetPr filterMode="1"/>
  <dimension ref="A1:Q257"/>
  <sheetViews>
    <sheetView zoomScale="80" zoomScaleNormal="80" workbookViewId="0">
      <pane ySplit="1" topLeftCell="A46" activePane="bottomLeft" state="frozen"/>
      <selection pane="bottomLeft" activeCell="F261" sqref="F261"/>
    </sheetView>
  </sheetViews>
  <sheetFormatPr defaultRowHeight="14.4" x14ac:dyDescent="0.3"/>
  <cols>
    <col min="1" max="1" width="25" bestFit="1" customWidth="1"/>
    <col min="2" max="2" width="11.44140625" bestFit="1" customWidth="1"/>
    <col min="3" max="3" width="9.6640625" customWidth="1"/>
    <col min="4" max="4" width="13.6640625" customWidth="1"/>
    <col min="5" max="5" width="13.5546875" bestFit="1" customWidth="1"/>
    <col min="6" max="6" width="39.88671875" customWidth="1"/>
    <col min="7" max="7" width="32.6640625" customWidth="1"/>
    <col min="8" max="8" width="17" customWidth="1"/>
    <col min="9" max="9" width="18.5546875" customWidth="1"/>
    <col min="10" max="10" width="33.44140625" customWidth="1"/>
    <col min="11" max="12" width="16.6640625" customWidth="1"/>
    <col min="13" max="13" width="34" customWidth="1"/>
    <col min="14" max="14" width="18.88671875" customWidth="1"/>
    <col min="15" max="15" width="30.44140625" customWidth="1"/>
    <col min="16" max="17" width="29.5546875" customWidth="1"/>
  </cols>
  <sheetData>
    <row r="1" spans="1:17" x14ac:dyDescent="0.3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4" t="s">
        <v>16</v>
      </c>
    </row>
    <row r="2" spans="1:17" hidden="1" x14ac:dyDescent="0.3">
      <c r="A2" s="3" t="s">
        <v>17</v>
      </c>
      <c r="B2" s="1" t="s">
        <v>18</v>
      </c>
      <c r="C2" s="1" t="s">
        <v>19</v>
      </c>
      <c r="D2" s="2">
        <v>3</v>
      </c>
      <c r="E2" s="1" t="s">
        <v>20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idden="1" x14ac:dyDescent="0.3">
      <c r="A3" s="3" t="s">
        <v>21</v>
      </c>
      <c r="B3" s="1" t="s">
        <v>22</v>
      </c>
      <c r="C3" s="1" t="s">
        <v>19</v>
      </c>
      <c r="D3" s="2">
        <v>3</v>
      </c>
      <c r="E3" s="1" t="s">
        <v>20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idden="1" x14ac:dyDescent="0.3">
      <c r="A4" s="3" t="s">
        <v>23</v>
      </c>
      <c r="B4" s="1" t="s">
        <v>24</v>
      </c>
      <c r="C4" s="1" t="s">
        <v>19</v>
      </c>
      <c r="D4" s="2">
        <v>3</v>
      </c>
      <c r="E4" s="1" t="s">
        <v>20</v>
      </c>
      <c r="F4" s="1"/>
      <c r="G4" s="1" t="s">
        <v>25</v>
      </c>
      <c r="H4" s="1" t="s">
        <v>25</v>
      </c>
      <c r="I4" s="1"/>
      <c r="J4" s="1"/>
      <c r="K4" s="1"/>
      <c r="L4" s="1"/>
      <c r="M4" s="1" t="s">
        <v>25</v>
      </c>
      <c r="N4" s="1" t="s">
        <v>25</v>
      </c>
      <c r="O4" s="1"/>
      <c r="P4" s="1" t="s">
        <v>26</v>
      </c>
      <c r="Q4" s="1"/>
    </row>
    <row r="5" spans="1:17" hidden="1" x14ac:dyDescent="0.3">
      <c r="A5" s="3" t="s">
        <v>27</v>
      </c>
      <c r="B5" s="1" t="s">
        <v>28</v>
      </c>
      <c r="C5" s="1" t="s">
        <v>29</v>
      </c>
      <c r="D5" s="2">
        <v>3</v>
      </c>
      <c r="E5" s="1" t="s">
        <v>20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idden="1" x14ac:dyDescent="0.3">
      <c r="A6" s="3" t="s">
        <v>30</v>
      </c>
      <c r="B6" s="1" t="s">
        <v>31</v>
      </c>
      <c r="C6" s="1" t="s">
        <v>29</v>
      </c>
      <c r="D6" s="2">
        <v>3</v>
      </c>
      <c r="E6" s="1" t="s">
        <v>20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idden="1" x14ac:dyDescent="0.3">
      <c r="A7" s="3" t="s">
        <v>32</v>
      </c>
      <c r="B7" s="1" t="s">
        <v>33</v>
      </c>
      <c r="C7" s="1" t="s">
        <v>19</v>
      </c>
      <c r="D7" s="2">
        <v>3</v>
      </c>
      <c r="E7" s="1" t="s">
        <v>20</v>
      </c>
      <c r="F7" s="1"/>
      <c r="G7" s="1"/>
      <c r="H7" s="1"/>
      <c r="I7" s="1"/>
      <c r="J7" s="1"/>
      <c r="K7" s="1"/>
      <c r="L7" s="1"/>
      <c r="M7" s="1" t="s">
        <v>25</v>
      </c>
      <c r="N7" s="1" t="s">
        <v>25</v>
      </c>
      <c r="O7" s="1"/>
      <c r="P7" s="1"/>
      <c r="Q7" s="1"/>
    </row>
    <row r="8" spans="1:17" hidden="1" x14ac:dyDescent="0.3">
      <c r="A8" s="3" t="s">
        <v>34</v>
      </c>
      <c r="B8" s="1" t="s">
        <v>35</v>
      </c>
      <c r="C8" s="1" t="s">
        <v>29</v>
      </c>
      <c r="D8" s="2">
        <v>3</v>
      </c>
      <c r="E8" s="1" t="s">
        <v>20</v>
      </c>
      <c r="F8" s="1"/>
      <c r="G8" s="1"/>
      <c r="H8" s="1"/>
      <c r="I8" s="1"/>
      <c r="J8" s="1"/>
      <c r="K8" s="1"/>
      <c r="L8" s="1"/>
      <c r="M8" s="1" t="s">
        <v>25</v>
      </c>
      <c r="N8" s="1" t="s">
        <v>25</v>
      </c>
      <c r="O8" s="1"/>
      <c r="P8" s="1"/>
      <c r="Q8" s="1"/>
    </row>
    <row r="9" spans="1:17" hidden="1" x14ac:dyDescent="0.3">
      <c r="A9" s="3" t="s">
        <v>36</v>
      </c>
      <c r="B9" s="1" t="s">
        <v>37</v>
      </c>
      <c r="C9" s="1" t="s">
        <v>38</v>
      </c>
      <c r="D9" s="2">
        <v>3</v>
      </c>
      <c r="E9" s="1" t="s">
        <v>20</v>
      </c>
      <c r="F9" s="1"/>
      <c r="G9" s="1" t="s">
        <v>25</v>
      </c>
      <c r="H9" s="1" t="s">
        <v>25</v>
      </c>
      <c r="I9" s="1"/>
      <c r="J9" s="1"/>
      <c r="K9" s="1"/>
      <c r="L9" s="1"/>
      <c r="M9" s="1" t="s">
        <v>25</v>
      </c>
      <c r="N9" s="1" t="s">
        <v>25</v>
      </c>
      <c r="O9" s="1"/>
      <c r="P9" s="1" t="s">
        <v>26</v>
      </c>
      <c r="Q9" s="1"/>
    </row>
    <row r="10" spans="1:17" hidden="1" x14ac:dyDescent="0.3">
      <c r="A10" s="3" t="s">
        <v>39</v>
      </c>
      <c r="B10" s="1" t="s">
        <v>40</v>
      </c>
      <c r="C10" s="1"/>
      <c r="D10" s="2">
        <v>3</v>
      </c>
      <c r="E10" s="1" t="s">
        <v>20</v>
      </c>
      <c r="F10" s="1"/>
      <c r="G10" s="1" t="s">
        <v>25</v>
      </c>
      <c r="H10" s="1" t="s">
        <v>25</v>
      </c>
      <c r="I10" s="1"/>
      <c r="J10" s="1"/>
      <c r="K10" s="1"/>
      <c r="L10" s="1"/>
      <c r="M10" s="1" t="s">
        <v>25</v>
      </c>
      <c r="N10" s="1" t="s">
        <v>25</v>
      </c>
      <c r="O10" s="1"/>
      <c r="P10" s="1" t="s">
        <v>26</v>
      </c>
      <c r="Q10" s="1"/>
    </row>
    <row r="11" spans="1:17" hidden="1" x14ac:dyDescent="0.3">
      <c r="A11" s="3" t="s">
        <v>41</v>
      </c>
      <c r="B11" s="1" t="s">
        <v>18</v>
      </c>
      <c r="C11" s="1" t="s">
        <v>19</v>
      </c>
      <c r="D11" s="2">
        <v>3.1</v>
      </c>
      <c r="E11" s="1" t="s">
        <v>20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idden="1" x14ac:dyDescent="0.3">
      <c r="A12" s="3" t="s">
        <v>42</v>
      </c>
      <c r="B12" s="1" t="s">
        <v>22</v>
      </c>
      <c r="C12" s="1" t="s">
        <v>19</v>
      </c>
      <c r="D12" s="2">
        <v>3.1</v>
      </c>
      <c r="E12" s="1" t="s">
        <v>20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idden="1" x14ac:dyDescent="0.3">
      <c r="A13" s="3" t="s">
        <v>43</v>
      </c>
      <c r="B13" s="1" t="s">
        <v>24</v>
      </c>
      <c r="C13" s="1" t="s">
        <v>19</v>
      </c>
      <c r="D13" s="2">
        <v>3.1</v>
      </c>
      <c r="E13" s="1" t="s">
        <v>20</v>
      </c>
      <c r="F13" s="1"/>
      <c r="G13" s="1" t="s">
        <v>25</v>
      </c>
      <c r="H13" s="1" t="s">
        <v>25</v>
      </c>
      <c r="I13" s="1"/>
      <c r="J13" s="1"/>
      <c r="K13" s="1"/>
      <c r="L13" s="1"/>
      <c r="M13" s="1" t="s">
        <v>25</v>
      </c>
      <c r="N13" s="1" t="s">
        <v>25</v>
      </c>
      <c r="O13" s="1"/>
      <c r="P13" s="1" t="s">
        <v>26</v>
      </c>
      <c r="Q13" s="1"/>
    </row>
    <row r="14" spans="1:17" hidden="1" x14ac:dyDescent="0.3">
      <c r="A14" s="3" t="s">
        <v>44</v>
      </c>
      <c r="B14" s="1" t="s">
        <v>28</v>
      </c>
      <c r="C14" s="1" t="s">
        <v>29</v>
      </c>
      <c r="D14" s="2">
        <v>3.1</v>
      </c>
      <c r="E14" s="1" t="s">
        <v>20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idden="1" x14ac:dyDescent="0.3">
      <c r="A15" s="3" t="s">
        <v>45</v>
      </c>
      <c r="B15" s="1" t="s">
        <v>31</v>
      </c>
      <c r="C15" s="1" t="s">
        <v>29</v>
      </c>
      <c r="D15" s="2">
        <v>3.1</v>
      </c>
      <c r="E15" s="1" t="s">
        <v>20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idden="1" x14ac:dyDescent="0.3">
      <c r="A16" s="3" t="s">
        <v>46</v>
      </c>
      <c r="B16" s="1" t="s">
        <v>33</v>
      </c>
      <c r="C16" s="1" t="s">
        <v>19</v>
      </c>
      <c r="D16" s="2">
        <v>3.1</v>
      </c>
      <c r="E16" s="1" t="s">
        <v>20</v>
      </c>
      <c r="F16" s="1"/>
      <c r="G16" s="1"/>
      <c r="H16" s="1"/>
      <c r="I16" s="1"/>
      <c r="J16" s="1"/>
      <c r="K16" s="1"/>
      <c r="L16" s="1"/>
      <c r="M16" s="1" t="s">
        <v>25</v>
      </c>
      <c r="N16" s="1" t="s">
        <v>25</v>
      </c>
      <c r="O16" s="1"/>
      <c r="P16" s="1"/>
      <c r="Q16" s="1"/>
    </row>
    <row r="17" spans="1:17" hidden="1" x14ac:dyDescent="0.3">
      <c r="A17" s="3" t="s">
        <v>47</v>
      </c>
      <c r="B17" s="1" t="s">
        <v>35</v>
      </c>
      <c r="C17" s="1" t="s">
        <v>29</v>
      </c>
      <c r="D17" s="2">
        <v>3.1</v>
      </c>
      <c r="E17" s="1" t="s">
        <v>20</v>
      </c>
      <c r="F17" s="1"/>
      <c r="G17" s="1"/>
      <c r="H17" s="1"/>
      <c r="I17" s="1"/>
      <c r="J17" s="1"/>
      <c r="K17" s="1"/>
      <c r="L17" s="1"/>
      <c r="M17" s="1" t="s">
        <v>25</v>
      </c>
      <c r="N17" s="1" t="s">
        <v>25</v>
      </c>
      <c r="O17" s="1"/>
      <c r="P17" s="1"/>
      <c r="Q17" s="1"/>
    </row>
    <row r="18" spans="1:17" hidden="1" x14ac:dyDescent="0.3">
      <c r="A18" s="3" t="s">
        <v>48</v>
      </c>
      <c r="B18" s="1" t="s">
        <v>37</v>
      </c>
      <c r="C18" s="1" t="s">
        <v>38</v>
      </c>
      <c r="D18" s="2">
        <v>3.1</v>
      </c>
      <c r="E18" s="1" t="s">
        <v>20</v>
      </c>
      <c r="F18" s="1"/>
      <c r="G18" s="1" t="s">
        <v>25</v>
      </c>
      <c r="H18" s="1" t="s">
        <v>25</v>
      </c>
      <c r="I18" s="1"/>
      <c r="J18" s="1"/>
      <c r="K18" s="1"/>
      <c r="L18" s="1"/>
      <c r="M18" s="1" t="s">
        <v>25</v>
      </c>
      <c r="N18" s="1" t="s">
        <v>25</v>
      </c>
      <c r="O18" s="1"/>
      <c r="P18" s="1" t="s">
        <v>26</v>
      </c>
      <c r="Q18" s="1"/>
    </row>
    <row r="19" spans="1:17" hidden="1" x14ac:dyDescent="0.3">
      <c r="A19" s="3" t="s">
        <v>49</v>
      </c>
      <c r="B19" s="1" t="s">
        <v>40</v>
      </c>
      <c r="C19" s="1"/>
      <c r="D19" s="2">
        <v>3.1</v>
      </c>
      <c r="E19" s="1" t="s">
        <v>20</v>
      </c>
      <c r="F19" s="1"/>
      <c r="G19" s="1" t="s">
        <v>25</v>
      </c>
      <c r="H19" s="1" t="s">
        <v>25</v>
      </c>
      <c r="I19" s="1"/>
      <c r="J19" s="1"/>
      <c r="K19" s="1"/>
      <c r="L19" s="1"/>
      <c r="M19" s="1" t="s">
        <v>25</v>
      </c>
      <c r="N19" s="1" t="s">
        <v>25</v>
      </c>
      <c r="O19" s="1"/>
      <c r="P19" s="1" t="s">
        <v>26</v>
      </c>
      <c r="Q19" s="1"/>
    </row>
    <row r="20" spans="1:17" hidden="1" x14ac:dyDescent="0.3">
      <c r="A20" s="3" t="s">
        <v>50</v>
      </c>
      <c r="B20" s="1" t="s">
        <v>18</v>
      </c>
      <c r="C20" s="1" t="s">
        <v>19</v>
      </c>
      <c r="D20" s="2">
        <v>4</v>
      </c>
      <c r="E20" s="1" t="s">
        <v>20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idden="1" x14ac:dyDescent="0.3">
      <c r="A21" s="3" t="s">
        <v>51</v>
      </c>
      <c r="B21" s="1" t="s">
        <v>22</v>
      </c>
      <c r="C21" s="1" t="s">
        <v>19</v>
      </c>
      <c r="D21" s="2">
        <v>4</v>
      </c>
      <c r="E21" s="1" t="s">
        <v>20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idden="1" x14ac:dyDescent="0.3">
      <c r="A22" s="3" t="s">
        <v>52</v>
      </c>
      <c r="B22" s="1" t="s">
        <v>24</v>
      </c>
      <c r="C22" s="1" t="s">
        <v>19</v>
      </c>
      <c r="D22" s="2">
        <v>4</v>
      </c>
      <c r="E22" s="1" t="s">
        <v>20</v>
      </c>
      <c r="F22" s="1"/>
      <c r="G22" s="1" t="s">
        <v>25</v>
      </c>
      <c r="H22" s="1" t="s">
        <v>25</v>
      </c>
      <c r="I22" s="1"/>
      <c r="J22" s="1"/>
      <c r="K22" s="1"/>
      <c r="L22" s="1"/>
      <c r="M22" s="1" t="s">
        <v>25</v>
      </c>
      <c r="N22" s="1" t="s">
        <v>25</v>
      </c>
      <c r="O22" s="1"/>
      <c r="P22" s="1" t="s">
        <v>26</v>
      </c>
      <c r="Q22" s="1"/>
    </row>
    <row r="23" spans="1:17" hidden="1" x14ac:dyDescent="0.3">
      <c r="A23" s="3" t="s">
        <v>53</v>
      </c>
      <c r="B23" s="1" t="s">
        <v>28</v>
      </c>
      <c r="C23" s="1" t="s">
        <v>29</v>
      </c>
      <c r="D23" s="2">
        <v>4</v>
      </c>
      <c r="E23" s="1" t="s">
        <v>20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idden="1" x14ac:dyDescent="0.3">
      <c r="A24" s="3" t="s">
        <v>54</v>
      </c>
      <c r="B24" s="1" t="s">
        <v>31</v>
      </c>
      <c r="C24" s="1" t="s">
        <v>29</v>
      </c>
      <c r="D24" s="2">
        <v>4</v>
      </c>
      <c r="E24" s="1" t="s">
        <v>20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idden="1" x14ac:dyDescent="0.3">
      <c r="A25" s="3" t="s">
        <v>55</v>
      </c>
      <c r="B25" s="1" t="s">
        <v>33</v>
      </c>
      <c r="C25" s="1" t="s">
        <v>19</v>
      </c>
      <c r="D25" s="2">
        <v>4</v>
      </c>
      <c r="E25" s="1" t="s">
        <v>20</v>
      </c>
      <c r="F25" s="1"/>
      <c r="G25" s="1"/>
      <c r="H25" s="1"/>
      <c r="I25" s="1"/>
      <c r="J25" s="1"/>
      <c r="K25" s="1"/>
      <c r="L25" s="1"/>
      <c r="M25" s="1" t="s">
        <v>25</v>
      </c>
      <c r="N25" s="1" t="s">
        <v>25</v>
      </c>
      <c r="O25" s="1"/>
      <c r="P25" s="1"/>
      <c r="Q25" s="1"/>
    </row>
    <row r="26" spans="1:17" hidden="1" x14ac:dyDescent="0.3">
      <c r="A26" s="3" t="s">
        <v>56</v>
      </c>
      <c r="B26" s="1" t="s">
        <v>35</v>
      </c>
      <c r="C26" s="1" t="s">
        <v>29</v>
      </c>
      <c r="D26" s="2">
        <v>4</v>
      </c>
      <c r="E26" s="1" t="s">
        <v>20</v>
      </c>
      <c r="F26" s="1"/>
      <c r="G26" s="1"/>
      <c r="H26" s="1"/>
      <c r="I26" s="1"/>
      <c r="J26" s="1"/>
      <c r="K26" s="1"/>
      <c r="L26" s="1"/>
      <c r="M26" s="1" t="s">
        <v>25</v>
      </c>
      <c r="N26" s="1" t="s">
        <v>25</v>
      </c>
      <c r="O26" s="1"/>
      <c r="P26" s="1"/>
      <c r="Q26" s="1"/>
    </row>
    <row r="27" spans="1:17" hidden="1" x14ac:dyDescent="0.3">
      <c r="A27" s="3" t="s">
        <v>57</v>
      </c>
      <c r="B27" s="1" t="s">
        <v>37</v>
      </c>
      <c r="C27" s="1" t="s">
        <v>38</v>
      </c>
      <c r="D27" s="2">
        <v>4</v>
      </c>
      <c r="E27" s="1" t="s">
        <v>20</v>
      </c>
      <c r="F27" s="1"/>
      <c r="G27" s="1" t="s">
        <v>25</v>
      </c>
      <c r="H27" s="1" t="s">
        <v>25</v>
      </c>
      <c r="I27" s="1"/>
      <c r="J27" s="1"/>
      <c r="K27" s="1"/>
      <c r="L27" s="1"/>
      <c r="M27" s="1" t="s">
        <v>25</v>
      </c>
      <c r="N27" s="1" t="s">
        <v>25</v>
      </c>
      <c r="O27" s="1"/>
      <c r="P27" s="1" t="s">
        <v>26</v>
      </c>
      <c r="Q27" s="1"/>
    </row>
    <row r="28" spans="1:17" hidden="1" x14ac:dyDescent="0.3">
      <c r="A28" s="3" t="s">
        <v>58</v>
      </c>
      <c r="B28" s="1" t="s">
        <v>40</v>
      </c>
      <c r="C28" s="1"/>
      <c r="D28" s="2">
        <v>4</v>
      </c>
      <c r="E28" s="1" t="s">
        <v>20</v>
      </c>
      <c r="F28" s="1"/>
      <c r="G28" s="1" t="s">
        <v>25</v>
      </c>
      <c r="H28" s="1" t="s">
        <v>25</v>
      </c>
      <c r="I28" s="1"/>
      <c r="J28" s="1"/>
      <c r="K28" s="1"/>
      <c r="L28" s="1"/>
      <c r="M28" s="1" t="s">
        <v>25</v>
      </c>
      <c r="N28" s="1" t="s">
        <v>25</v>
      </c>
      <c r="O28" s="1"/>
      <c r="P28" s="1" t="s">
        <v>26</v>
      </c>
      <c r="Q28" s="1"/>
    </row>
    <row r="29" spans="1:17" hidden="1" x14ac:dyDescent="0.3">
      <c r="A29" s="3" t="s">
        <v>59</v>
      </c>
      <c r="B29" s="1" t="s">
        <v>18</v>
      </c>
      <c r="C29" s="1" t="s">
        <v>19</v>
      </c>
      <c r="D29" s="2">
        <v>5</v>
      </c>
      <c r="E29" s="1" t="s">
        <v>20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idden="1" x14ac:dyDescent="0.3">
      <c r="A30" s="3" t="s">
        <v>60</v>
      </c>
      <c r="B30" s="1" t="s">
        <v>22</v>
      </c>
      <c r="C30" s="1" t="s">
        <v>19</v>
      </c>
      <c r="D30" s="2">
        <v>5</v>
      </c>
      <c r="E30" s="1" t="s">
        <v>20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idden="1" x14ac:dyDescent="0.3">
      <c r="A31" s="3" t="s">
        <v>61</v>
      </c>
      <c r="B31" s="1" t="s">
        <v>24</v>
      </c>
      <c r="C31" s="1" t="s">
        <v>19</v>
      </c>
      <c r="D31" s="2">
        <v>5</v>
      </c>
      <c r="E31" s="1" t="s">
        <v>20</v>
      </c>
      <c r="F31" s="1"/>
      <c r="G31" s="1" t="s">
        <v>25</v>
      </c>
      <c r="H31" s="1" t="s">
        <v>25</v>
      </c>
      <c r="I31" s="1"/>
      <c r="J31" s="1"/>
      <c r="K31" s="1"/>
      <c r="L31" s="1"/>
      <c r="M31" s="1" t="s">
        <v>25</v>
      </c>
      <c r="N31" s="1" t="s">
        <v>25</v>
      </c>
      <c r="O31" s="1"/>
      <c r="P31" s="1" t="s">
        <v>26</v>
      </c>
      <c r="Q31" s="1"/>
    </row>
    <row r="32" spans="1:17" hidden="1" x14ac:dyDescent="0.3">
      <c r="A32" s="3" t="s">
        <v>62</v>
      </c>
      <c r="B32" s="1" t="s">
        <v>28</v>
      </c>
      <c r="C32" s="1" t="s">
        <v>29</v>
      </c>
      <c r="D32" s="2">
        <v>5</v>
      </c>
      <c r="E32" s="1" t="s">
        <v>20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idden="1" x14ac:dyDescent="0.3">
      <c r="A33" s="3" t="s">
        <v>63</v>
      </c>
      <c r="B33" s="1" t="s">
        <v>31</v>
      </c>
      <c r="C33" s="1" t="s">
        <v>29</v>
      </c>
      <c r="D33" s="2">
        <v>5</v>
      </c>
      <c r="E33" s="1" t="s">
        <v>20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idden="1" x14ac:dyDescent="0.3">
      <c r="A34" s="3" t="s">
        <v>64</v>
      </c>
      <c r="B34" s="1" t="s">
        <v>33</v>
      </c>
      <c r="C34" s="1" t="s">
        <v>19</v>
      </c>
      <c r="D34" s="2">
        <v>5</v>
      </c>
      <c r="E34" s="1" t="s">
        <v>20</v>
      </c>
      <c r="F34" s="1"/>
      <c r="G34" s="1"/>
      <c r="H34" s="1"/>
      <c r="I34" s="1"/>
      <c r="J34" s="1"/>
      <c r="K34" s="1"/>
      <c r="L34" s="1"/>
      <c r="M34" s="1" t="s">
        <v>25</v>
      </c>
      <c r="N34" s="1" t="s">
        <v>25</v>
      </c>
      <c r="O34" s="1"/>
      <c r="P34" s="1"/>
      <c r="Q34" s="1"/>
    </row>
    <row r="35" spans="1:17" hidden="1" x14ac:dyDescent="0.3">
      <c r="A35" s="56" t="s">
        <v>65</v>
      </c>
      <c r="B35" s="1" t="s">
        <v>35</v>
      </c>
      <c r="C35" s="1" t="s">
        <v>29</v>
      </c>
      <c r="D35" s="2">
        <v>5</v>
      </c>
      <c r="E35" s="1" t="s">
        <v>20</v>
      </c>
      <c r="F35" s="1"/>
      <c r="G35" s="1"/>
      <c r="H35" s="1"/>
      <c r="I35" s="1"/>
      <c r="J35" s="1"/>
      <c r="K35" s="1"/>
      <c r="L35" s="1"/>
      <c r="M35" s="1" t="s">
        <v>25</v>
      </c>
      <c r="N35" s="1" t="s">
        <v>25</v>
      </c>
      <c r="O35" s="1"/>
      <c r="P35" s="1"/>
      <c r="Q35" s="1"/>
    </row>
    <row r="36" spans="1:17" hidden="1" x14ac:dyDescent="0.3">
      <c r="A36" s="3" t="s">
        <v>66</v>
      </c>
      <c r="B36" s="1" t="s">
        <v>37</v>
      </c>
      <c r="C36" s="1" t="s">
        <v>38</v>
      </c>
      <c r="D36" s="2">
        <v>5</v>
      </c>
      <c r="E36" s="1" t="s">
        <v>20</v>
      </c>
      <c r="F36" s="1"/>
      <c r="G36" s="1" t="s">
        <v>25</v>
      </c>
      <c r="H36" s="1" t="s">
        <v>25</v>
      </c>
      <c r="I36" s="1"/>
      <c r="J36" s="1"/>
      <c r="K36" s="1"/>
      <c r="L36" s="1"/>
      <c r="M36" s="1" t="s">
        <v>25</v>
      </c>
      <c r="N36" s="1" t="s">
        <v>25</v>
      </c>
      <c r="O36" s="1"/>
      <c r="P36" s="1" t="s">
        <v>26</v>
      </c>
      <c r="Q36" s="1"/>
    </row>
    <row r="37" spans="1:17" hidden="1" x14ac:dyDescent="0.3">
      <c r="A37" s="3" t="s">
        <v>67</v>
      </c>
      <c r="B37" s="1" t="s">
        <v>40</v>
      </c>
      <c r="C37" s="1"/>
      <c r="D37" s="2">
        <v>5</v>
      </c>
      <c r="E37" s="1" t="s">
        <v>20</v>
      </c>
      <c r="F37" s="1"/>
      <c r="G37" s="1" t="s">
        <v>25</v>
      </c>
      <c r="H37" s="1" t="s">
        <v>25</v>
      </c>
      <c r="I37" s="1"/>
      <c r="J37" s="1"/>
      <c r="K37" s="1"/>
      <c r="L37" s="1"/>
      <c r="M37" s="1" t="s">
        <v>25</v>
      </c>
      <c r="N37" s="1" t="s">
        <v>25</v>
      </c>
      <c r="O37" s="1"/>
      <c r="P37" s="1" t="s">
        <v>26</v>
      </c>
      <c r="Q37" s="1"/>
    </row>
    <row r="38" spans="1:17" hidden="1" x14ac:dyDescent="0.3">
      <c r="A38" s="3" t="s">
        <v>68</v>
      </c>
      <c r="B38" s="1" t="s">
        <v>18</v>
      </c>
      <c r="C38" s="1" t="s">
        <v>19</v>
      </c>
      <c r="D38" s="2">
        <v>5.0999999999999996</v>
      </c>
      <c r="E38" s="1" t="s">
        <v>20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idden="1" x14ac:dyDescent="0.3">
      <c r="A39" s="3" t="s">
        <v>69</v>
      </c>
      <c r="B39" s="1" t="s">
        <v>22</v>
      </c>
      <c r="C39" s="1" t="s">
        <v>19</v>
      </c>
      <c r="D39" s="2">
        <v>5.0999999999999996</v>
      </c>
      <c r="E39" s="1" t="s">
        <v>20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idden="1" x14ac:dyDescent="0.3">
      <c r="A40" s="3" t="s">
        <v>70</v>
      </c>
      <c r="B40" s="1" t="s">
        <v>24</v>
      </c>
      <c r="C40" s="1" t="s">
        <v>19</v>
      </c>
      <c r="D40" s="2">
        <v>5.0999999999999996</v>
      </c>
      <c r="E40" s="1" t="s">
        <v>20</v>
      </c>
      <c r="F40" s="1"/>
      <c r="G40" s="1" t="s">
        <v>25</v>
      </c>
      <c r="H40" s="1" t="s">
        <v>25</v>
      </c>
      <c r="I40" s="1"/>
      <c r="J40" s="1"/>
      <c r="K40" s="1"/>
      <c r="L40" s="1"/>
      <c r="M40" s="1" t="s">
        <v>25</v>
      </c>
      <c r="N40" s="1" t="s">
        <v>25</v>
      </c>
      <c r="O40" s="1"/>
      <c r="P40" s="1" t="s">
        <v>26</v>
      </c>
      <c r="Q40" s="1"/>
    </row>
    <row r="41" spans="1:17" hidden="1" x14ac:dyDescent="0.3">
      <c r="A41" s="3" t="s">
        <v>71</v>
      </c>
      <c r="B41" s="1" t="s">
        <v>28</v>
      </c>
      <c r="C41" s="1" t="s">
        <v>29</v>
      </c>
      <c r="D41" s="2">
        <v>5.0999999999999996</v>
      </c>
      <c r="E41" s="1" t="s">
        <v>20</v>
      </c>
      <c r="F41" s="1"/>
      <c r="G41" s="1"/>
      <c r="H41" s="1"/>
      <c r="I41" s="1"/>
      <c r="J41" s="1"/>
      <c r="K41" s="42"/>
      <c r="L41" s="42"/>
      <c r="M41" s="42"/>
      <c r="N41" s="42"/>
      <c r="O41" s="42"/>
      <c r="P41" s="1"/>
      <c r="Q41" s="1"/>
    </row>
    <row r="42" spans="1:17" hidden="1" x14ac:dyDescent="0.3">
      <c r="A42" s="3" t="s">
        <v>72</v>
      </c>
      <c r="B42" s="1" t="s">
        <v>31</v>
      </c>
      <c r="C42" s="1" t="s">
        <v>29</v>
      </c>
      <c r="D42" s="2">
        <v>5.0999999999999996</v>
      </c>
      <c r="E42" s="1" t="s">
        <v>20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idden="1" x14ac:dyDescent="0.3">
      <c r="A43" s="3" t="s">
        <v>73</v>
      </c>
      <c r="B43" s="1" t="s">
        <v>33</v>
      </c>
      <c r="C43" s="1" t="s">
        <v>19</v>
      </c>
      <c r="D43" s="2">
        <v>5.0999999999999996</v>
      </c>
      <c r="E43" s="1" t="s">
        <v>20</v>
      </c>
      <c r="F43" s="1"/>
      <c r="G43" s="1"/>
      <c r="H43" s="1"/>
      <c r="I43" s="1"/>
      <c r="J43" s="1"/>
      <c r="K43" s="1"/>
      <c r="L43" s="1"/>
      <c r="M43" s="1" t="s">
        <v>25</v>
      </c>
      <c r="N43" s="1" t="s">
        <v>25</v>
      </c>
      <c r="O43" s="1"/>
      <c r="P43" s="1"/>
      <c r="Q43" s="1"/>
    </row>
    <row r="44" spans="1:17" hidden="1" x14ac:dyDescent="0.3">
      <c r="A44" s="3" t="s">
        <v>74</v>
      </c>
      <c r="B44" s="1" t="s">
        <v>35</v>
      </c>
      <c r="C44" s="1" t="s">
        <v>29</v>
      </c>
      <c r="D44" s="2">
        <v>5.0999999999999996</v>
      </c>
      <c r="E44" s="1" t="s">
        <v>20</v>
      </c>
      <c r="F44" s="1"/>
      <c r="G44" s="1"/>
      <c r="H44" s="1"/>
      <c r="I44" s="1"/>
      <c r="J44" s="1"/>
      <c r="K44" s="1"/>
      <c r="L44" s="1"/>
      <c r="M44" s="1" t="s">
        <v>25</v>
      </c>
      <c r="N44" s="1" t="s">
        <v>25</v>
      </c>
      <c r="O44" s="1"/>
      <c r="P44" s="1"/>
      <c r="Q44" s="1"/>
    </row>
    <row r="45" spans="1:17" hidden="1" x14ac:dyDescent="0.3">
      <c r="A45" s="3" t="s">
        <v>75</v>
      </c>
      <c r="B45" s="1" t="s">
        <v>37</v>
      </c>
      <c r="C45" s="1" t="s">
        <v>38</v>
      </c>
      <c r="D45" s="2">
        <v>5.0999999999999996</v>
      </c>
      <c r="E45" s="1" t="s">
        <v>20</v>
      </c>
      <c r="F45" s="1"/>
      <c r="G45" s="1" t="s">
        <v>25</v>
      </c>
      <c r="H45" s="1" t="s">
        <v>25</v>
      </c>
      <c r="I45" s="1"/>
      <c r="J45" s="1"/>
      <c r="K45" s="1"/>
      <c r="L45" s="1"/>
      <c r="M45" s="1" t="s">
        <v>25</v>
      </c>
      <c r="N45" s="1" t="s">
        <v>25</v>
      </c>
      <c r="O45" s="1"/>
      <c r="P45" s="1" t="s">
        <v>26</v>
      </c>
      <c r="Q45" s="1"/>
    </row>
    <row r="46" spans="1:17" hidden="1" x14ac:dyDescent="0.3">
      <c r="A46" s="3" t="s">
        <v>76</v>
      </c>
      <c r="B46" s="1" t="s">
        <v>40</v>
      </c>
      <c r="C46" s="1"/>
      <c r="D46" s="2">
        <v>5.0999999999999996</v>
      </c>
      <c r="E46" s="1" t="s">
        <v>20</v>
      </c>
      <c r="F46" s="1"/>
      <c r="G46" s="1" t="s">
        <v>25</v>
      </c>
      <c r="H46" s="1" t="s">
        <v>25</v>
      </c>
      <c r="I46" s="1"/>
      <c r="J46" s="1"/>
      <c r="K46" s="1"/>
      <c r="L46" s="1"/>
      <c r="M46" s="1" t="s">
        <v>25</v>
      </c>
      <c r="N46" s="1" t="s">
        <v>25</v>
      </c>
      <c r="O46" s="1"/>
      <c r="P46" s="1" t="s">
        <v>26</v>
      </c>
      <c r="Q46" s="1"/>
    </row>
    <row r="47" spans="1:17" hidden="1" x14ac:dyDescent="0.3">
      <c r="A47" s="3" t="s">
        <v>77</v>
      </c>
      <c r="B47" s="1" t="s">
        <v>18</v>
      </c>
      <c r="C47" s="1" t="s">
        <v>19</v>
      </c>
      <c r="D47" s="2">
        <v>5.2</v>
      </c>
      <c r="E47" s="1" t="s">
        <v>20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idden="1" x14ac:dyDescent="0.3">
      <c r="A48" s="3" t="s">
        <v>78</v>
      </c>
      <c r="B48" s="1" t="s">
        <v>22</v>
      </c>
      <c r="C48" s="1" t="s">
        <v>19</v>
      </c>
      <c r="D48" s="2">
        <v>5.2</v>
      </c>
      <c r="E48" s="1" t="s">
        <v>20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idden="1" x14ac:dyDescent="0.3">
      <c r="A49" s="3" t="s">
        <v>79</v>
      </c>
      <c r="B49" s="1" t="s">
        <v>24</v>
      </c>
      <c r="C49" s="1" t="s">
        <v>19</v>
      </c>
      <c r="D49" s="2">
        <v>5.2</v>
      </c>
      <c r="E49" s="1" t="s">
        <v>20</v>
      </c>
      <c r="F49" s="1"/>
      <c r="G49" s="1" t="s">
        <v>25</v>
      </c>
      <c r="H49" s="1" t="s">
        <v>25</v>
      </c>
      <c r="I49" s="1"/>
      <c r="J49" s="1"/>
      <c r="K49" s="1"/>
      <c r="L49" s="1"/>
      <c r="M49" s="1" t="s">
        <v>25</v>
      </c>
      <c r="N49" s="1" t="s">
        <v>25</v>
      </c>
      <c r="O49" s="1"/>
      <c r="P49" s="1" t="s">
        <v>26</v>
      </c>
      <c r="Q49" s="1"/>
    </row>
    <row r="50" spans="1:17" hidden="1" x14ac:dyDescent="0.3">
      <c r="A50" s="3" t="s">
        <v>80</v>
      </c>
      <c r="B50" s="1" t="s">
        <v>28</v>
      </c>
      <c r="C50" s="1" t="s">
        <v>29</v>
      </c>
      <c r="D50" s="2">
        <v>5.2</v>
      </c>
      <c r="E50" s="1" t="s">
        <v>20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idden="1" x14ac:dyDescent="0.3">
      <c r="A51" s="3" t="s">
        <v>81</v>
      </c>
      <c r="B51" s="1" t="s">
        <v>31</v>
      </c>
      <c r="C51" s="1" t="s">
        <v>29</v>
      </c>
      <c r="D51" s="2">
        <v>5.2</v>
      </c>
      <c r="E51" s="1" t="s">
        <v>20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idden="1" x14ac:dyDescent="0.3">
      <c r="A52" s="3" t="s">
        <v>82</v>
      </c>
      <c r="B52" s="1" t="s">
        <v>33</v>
      </c>
      <c r="C52" s="1" t="s">
        <v>19</v>
      </c>
      <c r="D52" s="2">
        <v>5.2</v>
      </c>
      <c r="E52" s="1" t="s">
        <v>20</v>
      </c>
      <c r="F52" s="1"/>
      <c r="G52" s="1"/>
      <c r="H52" s="1"/>
      <c r="I52" s="1"/>
      <c r="J52" s="1"/>
      <c r="K52" s="1"/>
      <c r="L52" s="1"/>
      <c r="M52" s="1" t="s">
        <v>25</v>
      </c>
      <c r="N52" s="1" t="s">
        <v>25</v>
      </c>
      <c r="O52" s="1"/>
      <c r="P52" s="1"/>
      <c r="Q52" s="1"/>
    </row>
    <row r="53" spans="1:17" hidden="1" x14ac:dyDescent="0.3">
      <c r="A53" s="3" t="s">
        <v>83</v>
      </c>
      <c r="B53" s="1" t="s">
        <v>35</v>
      </c>
      <c r="C53" s="1" t="s">
        <v>29</v>
      </c>
      <c r="D53" s="2">
        <v>5.2</v>
      </c>
      <c r="E53" s="1" t="s">
        <v>20</v>
      </c>
      <c r="F53" s="1"/>
      <c r="G53" s="1"/>
      <c r="H53" s="1"/>
      <c r="I53" s="1"/>
      <c r="J53" s="1"/>
      <c r="K53" s="1"/>
      <c r="L53" s="1"/>
      <c r="M53" s="1" t="s">
        <v>25</v>
      </c>
      <c r="N53" s="1" t="s">
        <v>25</v>
      </c>
      <c r="O53" s="1"/>
      <c r="P53" s="1"/>
      <c r="Q53" s="1"/>
    </row>
    <row r="54" spans="1:17" hidden="1" x14ac:dyDescent="0.3">
      <c r="A54" s="3" t="s">
        <v>84</v>
      </c>
      <c r="B54" s="1" t="s">
        <v>37</v>
      </c>
      <c r="C54" s="1" t="s">
        <v>38</v>
      </c>
      <c r="D54" s="2">
        <v>5.2</v>
      </c>
      <c r="E54" s="1" t="s">
        <v>20</v>
      </c>
      <c r="F54" s="1"/>
      <c r="G54" s="1" t="s">
        <v>25</v>
      </c>
      <c r="H54" s="1" t="s">
        <v>25</v>
      </c>
      <c r="I54" s="1"/>
      <c r="J54" s="1"/>
      <c r="K54" s="1"/>
      <c r="L54" s="1"/>
      <c r="M54" s="1" t="s">
        <v>25</v>
      </c>
      <c r="N54" s="1" t="s">
        <v>25</v>
      </c>
      <c r="O54" s="1"/>
      <c r="P54" s="1" t="s">
        <v>26</v>
      </c>
      <c r="Q54" s="1"/>
    </row>
    <row r="55" spans="1:17" hidden="1" x14ac:dyDescent="0.3">
      <c r="A55" s="3" t="s">
        <v>85</v>
      </c>
      <c r="B55" s="1" t="s">
        <v>40</v>
      </c>
      <c r="C55" s="1"/>
      <c r="D55" s="2">
        <v>5.2</v>
      </c>
      <c r="E55" s="1" t="s">
        <v>20</v>
      </c>
      <c r="F55" s="1"/>
      <c r="G55" s="1" t="s">
        <v>25</v>
      </c>
      <c r="H55" s="1" t="s">
        <v>25</v>
      </c>
      <c r="I55" s="1"/>
      <c r="J55" s="1"/>
      <c r="K55" s="1"/>
      <c r="L55" s="1"/>
      <c r="M55" s="1" t="s">
        <v>25</v>
      </c>
      <c r="N55" s="1" t="s">
        <v>25</v>
      </c>
      <c r="O55" s="1"/>
      <c r="P55" s="1" t="s">
        <v>26</v>
      </c>
      <c r="Q55" s="1"/>
    </row>
    <row r="56" spans="1:17" hidden="1" x14ac:dyDescent="0.3">
      <c r="A56" s="3" t="s">
        <v>86</v>
      </c>
      <c r="B56" s="1" t="s">
        <v>18</v>
      </c>
      <c r="C56" s="1" t="s">
        <v>19</v>
      </c>
      <c r="D56" s="2">
        <v>5.3</v>
      </c>
      <c r="E56" s="1" t="s">
        <v>20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idden="1" x14ac:dyDescent="0.3">
      <c r="A57" s="3" t="s">
        <v>87</v>
      </c>
      <c r="B57" s="1" t="s">
        <v>22</v>
      </c>
      <c r="C57" s="1" t="s">
        <v>19</v>
      </c>
      <c r="D57" s="2">
        <v>5.3</v>
      </c>
      <c r="E57" s="1" t="s">
        <v>20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idden="1" x14ac:dyDescent="0.3">
      <c r="A58" s="3" t="s">
        <v>88</v>
      </c>
      <c r="B58" s="1" t="s">
        <v>24</v>
      </c>
      <c r="C58" s="1" t="s">
        <v>19</v>
      </c>
      <c r="D58" s="2">
        <v>5.3</v>
      </c>
      <c r="E58" s="1" t="s">
        <v>20</v>
      </c>
      <c r="F58" s="1"/>
      <c r="G58" s="1" t="s">
        <v>25</v>
      </c>
      <c r="H58" s="1" t="s">
        <v>25</v>
      </c>
      <c r="I58" s="1"/>
      <c r="J58" s="1"/>
      <c r="K58" s="1"/>
      <c r="L58" s="1"/>
      <c r="M58" s="1" t="s">
        <v>25</v>
      </c>
      <c r="N58" s="1" t="s">
        <v>25</v>
      </c>
      <c r="O58" s="1"/>
      <c r="P58" s="1" t="s">
        <v>26</v>
      </c>
      <c r="Q58" s="1"/>
    </row>
    <row r="59" spans="1:17" hidden="1" x14ac:dyDescent="0.3">
      <c r="A59" s="3" t="s">
        <v>89</v>
      </c>
      <c r="B59" s="1" t="s">
        <v>28</v>
      </c>
      <c r="C59" s="1" t="s">
        <v>29</v>
      </c>
      <c r="D59" s="2">
        <v>5.3</v>
      </c>
      <c r="E59" s="1" t="s">
        <v>20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idden="1" x14ac:dyDescent="0.3">
      <c r="A60" s="3" t="s">
        <v>90</v>
      </c>
      <c r="B60" s="1" t="s">
        <v>31</v>
      </c>
      <c r="C60" s="1" t="s">
        <v>29</v>
      </c>
      <c r="D60" s="2">
        <v>5.3</v>
      </c>
      <c r="E60" s="1" t="s">
        <v>20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idden="1" x14ac:dyDescent="0.3">
      <c r="A61" s="3" t="s">
        <v>91</v>
      </c>
      <c r="B61" s="1" t="s">
        <v>33</v>
      </c>
      <c r="C61" s="1" t="s">
        <v>19</v>
      </c>
      <c r="D61" s="2">
        <v>5.3</v>
      </c>
      <c r="E61" s="1" t="s">
        <v>20</v>
      </c>
      <c r="F61" s="1"/>
      <c r="G61" s="1"/>
      <c r="H61" s="1"/>
      <c r="I61" s="1"/>
      <c r="J61" s="1"/>
      <c r="K61" s="1"/>
      <c r="L61" s="1"/>
      <c r="M61" s="1" t="s">
        <v>25</v>
      </c>
      <c r="N61" s="1" t="s">
        <v>25</v>
      </c>
      <c r="O61" s="1"/>
      <c r="P61" s="1"/>
      <c r="Q61" s="1"/>
    </row>
    <row r="62" spans="1:17" hidden="1" x14ac:dyDescent="0.3">
      <c r="A62" s="3" t="s">
        <v>92</v>
      </c>
      <c r="B62" s="1" t="s">
        <v>35</v>
      </c>
      <c r="C62" s="1" t="s">
        <v>29</v>
      </c>
      <c r="D62" s="2">
        <v>5.3</v>
      </c>
      <c r="E62" s="1" t="s">
        <v>20</v>
      </c>
      <c r="F62" s="1"/>
      <c r="G62" s="1"/>
      <c r="H62" s="1"/>
      <c r="I62" s="1"/>
      <c r="J62" s="1"/>
      <c r="K62" s="1"/>
      <c r="L62" s="1"/>
      <c r="M62" s="1" t="s">
        <v>25</v>
      </c>
      <c r="N62" s="1" t="s">
        <v>25</v>
      </c>
      <c r="O62" s="1"/>
      <c r="P62" s="1"/>
      <c r="Q62" s="1"/>
    </row>
    <row r="63" spans="1:17" hidden="1" x14ac:dyDescent="0.3">
      <c r="A63" s="3" t="s">
        <v>93</v>
      </c>
      <c r="B63" s="1" t="s">
        <v>37</v>
      </c>
      <c r="C63" s="1" t="s">
        <v>38</v>
      </c>
      <c r="D63" s="2">
        <v>5.3</v>
      </c>
      <c r="E63" s="1" t="s">
        <v>20</v>
      </c>
      <c r="F63" s="1"/>
      <c r="G63" s="1" t="s">
        <v>25</v>
      </c>
      <c r="H63" s="1" t="s">
        <v>25</v>
      </c>
      <c r="I63" s="1"/>
      <c r="J63" s="1"/>
      <c r="K63" s="1"/>
      <c r="L63" s="1"/>
      <c r="M63" s="1" t="s">
        <v>25</v>
      </c>
      <c r="N63" s="1" t="s">
        <v>25</v>
      </c>
      <c r="O63" s="1"/>
      <c r="P63" s="1" t="s">
        <v>26</v>
      </c>
      <c r="Q63" s="1"/>
    </row>
    <row r="64" spans="1:17" hidden="1" x14ac:dyDescent="0.3">
      <c r="A64" s="3" t="s">
        <v>94</v>
      </c>
      <c r="B64" s="1" t="s">
        <v>40</v>
      </c>
      <c r="C64" s="1"/>
      <c r="D64" s="2">
        <v>5.3</v>
      </c>
      <c r="E64" s="1" t="s">
        <v>20</v>
      </c>
      <c r="F64" s="1"/>
      <c r="G64" s="1" t="s">
        <v>25</v>
      </c>
      <c r="H64" s="1" t="s">
        <v>25</v>
      </c>
      <c r="I64" s="1"/>
      <c r="J64" s="1"/>
      <c r="K64" s="1"/>
      <c r="L64" s="1"/>
      <c r="M64" s="1" t="s">
        <v>25</v>
      </c>
      <c r="N64" s="1" t="s">
        <v>25</v>
      </c>
      <c r="O64" s="1"/>
      <c r="P64" s="1" t="s">
        <v>26</v>
      </c>
      <c r="Q64" s="1"/>
    </row>
    <row r="65" spans="1:17" hidden="1" x14ac:dyDescent="0.3">
      <c r="A65" s="3" t="s">
        <v>95</v>
      </c>
      <c r="B65" s="1" t="s">
        <v>96</v>
      </c>
      <c r="C65" s="1"/>
      <c r="D65" s="2">
        <v>5.3</v>
      </c>
      <c r="E65" s="1" t="s">
        <v>20</v>
      </c>
      <c r="F65" s="1"/>
      <c r="G65" s="1" t="s">
        <v>25</v>
      </c>
      <c r="H65" s="1" t="s">
        <v>25</v>
      </c>
      <c r="I65" s="1"/>
      <c r="J65" s="1"/>
      <c r="K65" s="1"/>
      <c r="L65" s="1"/>
      <c r="M65" s="1" t="s">
        <v>25</v>
      </c>
      <c r="N65" s="1" t="s">
        <v>25</v>
      </c>
      <c r="O65" s="1"/>
      <c r="P65" s="1" t="s">
        <v>26</v>
      </c>
      <c r="Q65" s="1"/>
    </row>
    <row r="66" spans="1:17" hidden="1" x14ac:dyDescent="0.3">
      <c r="A66" s="3" t="s">
        <v>97</v>
      </c>
      <c r="B66" s="1" t="s">
        <v>18</v>
      </c>
      <c r="C66" s="1" t="s">
        <v>19</v>
      </c>
      <c r="D66" s="2">
        <v>3</v>
      </c>
      <c r="E66" s="1" t="s">
        <v>98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idden="1" x14ac:dyDescent="0.3">
      <c r="A67" s="3" t="s">
        <v>99</v>
      </c>
      <c r="B67" s="1" t="s">
        <v>22</v>
      </c>
      <c r="C67" s="1" t="s">
        <v>19</v>
      </c>
      <c r="D67" s="2">
        <v>3</v>
      </c>
      <c r="E67" s="1" t="s">
        <v>98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idden="1" x14ac:dyDescent="0.3">
      <c r="A68" s="3" t="s">
        <v>100</v>
      </c>
      <c r="B68" s="1" t="s">
        <v>24</v>
      </c>
      <c r="C68" s="1" t="s">
        <v>19</v>
      </c>
      <c r="D68" s="2">
        <v>3</v>
      </c>
      <c r="E68" s="1" t="s">
        <v>98</v>
      </c>
      <c r="F68" s="1"/>
      <c r="G68" s="1" t="s">
        <v>25</v>
      </c>
      <c r="H68" s="1" t="s">
        <v>25</v>
      </c>
      <c r="I68" s="1"/>
      <c r="J68" s="1"/>
      <c r="K68" s="1"/>
      <c r="L68" s="1"/>
      <c r="M68" s="1" t="s">
        <v>25</v>
      </c>
      <c r="N68" s="1" t="s">
        <v>25</v>
      </c>
      <c r="O68" s="1"/>
      <c r="P68" s="1" t="s">
        <v>26</v>
      </c>
      <c r="Q68" s="1"/>
    </row>
    <row r="69" spans="1:17" hidden="1" x14ac:dyDescent="0.3">
      <c r="A69" s="3" t="s">
        <v>101</v>
      </c>
      <c r="B69" s="1" t="s">
        <v>28</v>
      </c>
      <c r="C69" s="1" t="s">
        <v>29</v>
      </c>
      <c r="D69" s="2">
        <v>3</v>
      </c>
      <c r="E69" s="1" t="s">
        <v>98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idden="1" x14ac:dyDescent="0.3">
      <c r="A70" s="3" t="s">
        <v>102</v>
      </c>
      <c r="B70" s="1" t="s">
        <v>31</v>
      </c>
      <c r="C70" s="1" t="s">
        <v>29</v>
      </c>
      <c r="D70" s="2">
        <v>3</v>
      </c>
      <c r="E70" s="1" t="s">
        <v>98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idden="1" x14ac:dyDescent="0.3">
      <c r="A71" s="3" t="s">
        <v>103</v>
      </c>
      <c r="B71" s="1" t="s">
        <v>33</v>
      </c>
      <c r="C71" s="1" t="s">
        <v>19</v>
      </c>
      <c r="D71" s="2">
        <v>3</v>
      </c>
      <c r="E71" s="1" t="s">
        <v>98</v>
      </c>
      <c r="F71" s="1"/>
      <c r="G71" s="1"/>
      <c r="H71" s="1"/>
      <c r="I71" s="1"/>
      <c r="J71" s="1"/>
      <c r="K71" s="1"/>
      <c r="L71" s="1"/>
      <c r="M71" s="1" t="s">
        <v>25</v>
      </c>
      <c r="N71" s="1" t="s">
        <v>25</v>
      </c>
      <c r="O71" s="1"/>
      <c r="P71" s="1"/>
      <c r="Q71" s="1"/>
    </row>
    <row r="72" spans="1:17" hidden="1" x14ac:dyDescent="0.3">
      <c r="A72" s="3" t="s">
        <v>104</v>
      </c>
      <c r="B72" s="1" t="s">
        <v>35</v>
      </c>
      <c r="C72" s="1" t="s">
        <v>29</v>
      </c>
      <c r="D72" s="2">
        <v>3</v>
      </c>
      <c r="E72" s="1" t="s">
        <v>98</v>
      </c>
      <c r="F72" s="1"/>
      <c r="G72" s="1"/>
      <c r="H72" s="1"/>
      <c r="I72" s="1"/>
      <c r="J72" s="1"/>
      <c r="K72" s="1"/>
      <c r="L72" s="1"/>
      <c r="M72" s="1" t="s">
        <v>25</v>
      </c>
      <c r="N72" s="1" t="s">
        <v>25</v>
      </c>
      <c r="O72" s="1"/>
      <c r="P72" s="1"/>
      <c r="Q72" s="1"/>
    </row>
    <row r="73" spans="1:17" hidden="1" x14ac:dyDescent="0.3">
      <c r="A73" s="3" t="s">
        <v>105</v>
      </c>
      <c r="B73" s="1" t="s">
        <v>37</v>
      </c>
      <c r="C73" s="1" t="s">
        <v>38</v>
      </c>
      <c r="D73" s="2">
        <v>3</v>
      </c>
      <c r="E73" s="1" t="s">
        <v>98</v>
      </c>
      <c r="F73" s="1"/>
      <c r="G73" s="1" t="s">
        <v>25</v>
      </c>
      <c r="H73" s="1" t="s">
        <v>25</v>
      </c>
      <c r="I73" s="1"/>
      <c r="J73" s="1"/>
      <c r="K73" s="1"/>
      <c r="L73" s="1"/>
      <c r="M73" s="1" t="s">
        <v>25</v>
      </c>
      <c r="N73" s="1" t="s">
        <v>25</v>
      </c>
      <c r="O73" s="1"/>
      <c r="P73" s="1" t="s">
        <v>26</v>
      </c>
      <c r="Q73" s="1"/>
    </row>
    <row r="74" spans="1:17" hidden="1" x14ac:dyDescent="0.3">
      <c r="A74" s="3" t="s">
        <v>106</v>
      </c>
      <c r="B74" s="1" t="s">
        <v>40</v>
      </c>
      <c r="C74" s="1"/>
      <c r="D74" s="2">
        <v>3</v>
      </c>
      <c r="E74" s="1" t="s">
        <v>98</v>
      </c>
      <c r="F74" s="1"/>
      <c r="G74" s="1" t="s">
        <v>25</v>
      </c>
      <c r="H74" s="1" t="s">
        <v>25</v>
      </c>
      <c r="I74" s="1"/>
      <c r="J74" s="1"/>
      <c r="K74" s="1"/>
      <c r="L74" s="1"/>
      <c r="M74" s="1" t="s">
        <v>25</v>
      </c>
      <c r="N74" s="1" t="s">
        <v>25</v>
      </c>
      <c r="O74" s="1"/>
      <c r="P74" s="1" t="s">
        <v>26</v>
      </c>
      <c r="Q74" s="1"/>
    </row>
    <row r="75" spans="1:17" hidden="1" x14ac:dyDescent="0.3">
      <c r="A75" s="3" t="s">
        <v>107</v>
      </c>
      <c r="B75" s="1" t="s">
        <v>18</v>
      </c>
      <c r="C75" s="1" t="s">
        <v>19</v>
      </c>
      <c r="D75" s="2">
        <v>3.1</v>
      </c>
      <c r="E75" s="1" t="s">
        <v>98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idden="1" x14ac:dyDescent="0.3">
      <c r="A76" s="3" t="s">
        <v>108</v>
      </c>
      <c r="B76" s="1" t="s">
        <v>22</v>
      </c>
      <c r="C76" s="1" t="s">
        <v>19</v>
      </c>
      <c r="D76" s="2">
        <v>3.1</v>
      </c>
      <c r="E76" s="1" t="s">
        <v>98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idden="1" x14ac:dyDescent="0.3">
      <c r="A77" s="3" t="s">
        <v>109</v>
      </c>
      <c r="B77" s="1" t="s">
        <v>24</v>
      </c>
      <c r="C77" s="1" t="s">
        <v>19</v>
      </c>
      <c r="D77" s="2">
        <v>3.1</v>
      </c>
      <c r="E77" s="1" t="s">
        <v>98</v>
      </c>
      <c r="F77" s="1"/>
      <c r="G77" s="1" t="s">
        <v>25</v>
      </c>
      <c r="H77" s="1" t="s">
        <v>25</v>
      </c>
      <c r="I77" s="1"/>
      <c r="J77" s="1"/>
      <c r="K77" s="1"/>
      <c r="L77" s="1"/>
      <c r="M77" s="1" t="s">
        <v>25</v>
      </c>
      <c r="N77" s="1" t="s">
        <v>25</v>
      </c>
      <c r="O77" s="1"/>
      <c r="P77" s="1" t="s">
        <v>26</v>
      </c>
      <c r="Q77" s="1"/>
    </row>
    <row r="78" spans="1:17" hidden="1" x14ac:dyDescent="0.3">
      <c r="A78" s="3" t="s">
        <v>110</v>
      </c>
      <c r="B78" s="1" t="s">
        <v>28</v>
      </c>
      <c r="C78" s="1" t="s">
        <v>29</v>
      </c>
      <c r="D78" s="2">
        <v>3.1</v>
      </c>
      <c r="E78" s="1" t="s">
        <v>98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idden="1" x14ac:dyDescent="0.3">
      <c r="A79" s="3" t="s">
        <v>111</v>
      </c>
      <c r="B79" s="1" t="s">
        <v>31</v>
      </c>
      <c r="C79" s="1" t="s">
        <v>29</v>
      </c>
      <c r="D79" s="2">
        <v>3.1</v>
      </c>
      <c r="E79" s="1" t="s">
        <v>98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idden="1" x14ac:dyDescent="0.3">
      <c r="A80" s="3" t="s">
        <v>112</v>
      </c>
      <c r="B80" s="1" t="s">
        <v>33</v>
      </c>
      <c r="C80" s="1" t="s">
        <v>19</v>
      </c>
      <c r="D80" s="2">
        <v>3.1</v>
      </c>
      <c r="E80" s="1" t="s">
        <v>98</v>
      </c>
      <c r="F80" s="1"/>
      <c r="G80" s="1"/>
      <c r="H80" s="1"/>
      <c r="I80" s="1"/>
      <c r="J80" s="1"/>
      <c r="K80" s="1"/>
      <c r="L80" s="1"/>
      <c r="M80" s="1" t="s">
        <v>25</v>
      </c>
      <c r="N80" s="1" t="s">
        <v>25</v>
      </c>
      <c r="O80" s="1"/>
      <c r="P80" s="1"/>
      <c r="Q80" s="1"/>
    </row>
    <row r="81" spans="1:17" hidden="1" x14ac:dyDescent="0.3">
      <c r="A81" s="3" t="s">
        <v>113</v>
      </c>
      <c r="B81" s="1" t="s">
        <v>35</v>
      </c>
      <c r="C81" s="1" t="s">
        <v>29</v>
      </c>
      <c r="D81" s="2">
        <v>3.1</v>
      </c>
      <c r="E81" s="1" t="s">
        <v>98</v>
      </c>
      <c r="F81" s="1"/>
      <c r="G81" s="1"/>
      <c r="H81" s="1"/>
      <c r="I81" s="1"/>
      <c r="J81" s="1"/>
      <c r="K81" s="1"/>
      <c r="L81" s="1"/>
      <c r="M81" s="1" t="s">
        <v>25</v>
      </c>
      <c r="N81" s="1" t="s">
        <v>25</v>
      </c>
      <c r="O81" s="1"/>
      <c r="P81" s="1"/>
      <c r="Q81" s="1"/>
    </row>
    <row r="82" spans="1:17" hidden="1" x14ac:dyDescent="0.3">
      <c r="A82" s="3" t="s">
        <v>114</v>
      </c>
      <c r="B82" s="1" t="s">
        <v>37</v>
      </c>
      <c r="C82" s="1" t="s">
        <v>38</v>
      </c>
      <c r="D82" s="2">
        <v>3.1</v>
      </c>
      <c r="E82" s="1" t="s">
        <v>98</v>
      </c>
      <c r="F82" s="1"/>
      <c r="G82" s="1" t="s">
        <v>25</v>
      </c>
      <c r="H82" s="1" t="s">
        <v>25</v>
      </c>
      <c r="I82" s="1"/>
      <c r="J82" s="1"/>
      <c r="K82" s="1"/>
      <c r="L82" s="1"/>
      <c r="M82" s="1" t="s">
        <v>25</v>
      </c>
      <c r="N82" s="1" t="s">
        <v>25</v>
      </c>
      <c r="O82" s="1"/>
      <c r="P82" s="1" t="s">
        <v>26</v>
      </c>
      <c r="Q82" s="1"/>
    </row>
    <row r="83" spans="1:17" hidden="1" x14ac:dyDescent="0.3">
      <c r="A83" s="3" t="s">
        <v>115</v>
      </c>
      <c r="B83" s="1" t="s">
        <v>40</v>
      </c>
      <c r="C83" s="1"/>
      <c r="D83" s="2">
        <v>3.1</v>
      </c>
      <c r="E83" s="1" t="s">
        <v>98</v>
      </c>
      <c r="F83" s="1"/>
      <c r="G83" s="1" t="s">
        <v>25</v>
      </c>
      <c r="H83" s="1" t="s">
        <v>25</v>
      </c>
      <c r="I83" s="1"/>
      <c r="J83" s="1"/>
      <c r="K83" s="1"/>
      <c r="L83" s="1"/>
      <c r="M83" s="1" t="s">
        <v>25</v>
      </c>
      <c r="N83" s="1" t="s">
        <v>25</v>
      </c>
      <c r="O83" s="1"/>
      <c r="P83" s="1" t="s">
        <v>26</v>
      </c>
      <c r="Q83" s="1"/>
    </row>
    <row r="84" spans="1:17" hidden="1" x14ac:dyDescent="0.3">
      <c r="A84" s="3" t="s">
        <v>116</v>
      </c>
      <c r="B84" s="1" t="s">
        <v>18</v>
      </c>
      <c r="C84" s="1" t="s">
        <v>19</v>
      </c>
      <c r="D84" s="2">
        <v>4</v>
      </c>
      <c r="E84" s="1" t="s">
        <v>98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idden="1" x14ac:dyDescent="0.3">
      <c r="A85" s="3" t="s">
        <v>117</v>
      </c>
      <c r="B85" s="1" t="s">
        <v>22</v>
      </c>
      <c r="C85" s="1" t="s">
        <v>19</v>
      </c>
      <c r="D85" s="2">
        <v>4</v>
      </c>
      <c r="E85" s="1" t="s">
        <v>98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idden="1" x14ac:dyDescent="0.3">
      <c r="A86" s="3" t="s">
        <v>118</v>
      </c>
      <c r="B86" s="1" t="s">
        <v>24</v>
      </c>
      <c r="C86" s="1" t="s">
        <v>19</v>
      </c>
      <c r="D86" s="2">
        <v>4</v>
      </c>
      <c r="E86" s="1" t="s">
        <v>98</v>
      </c>
      <c r="F86" s="1"/>
      <c r="G86" s="1" t="s">
        <v>25</v>
      </c>
      <c r="H86" s="1" t="s">
        <v>25</v>
      </c>
      <c r="I86" s="1"/>
      <c r="J86" s="1"/>
      <c r="K86" s="1"/>
      <c r="L86" s="1"/>
      <c r="M86" s="1" t="s">
        <v>25</v>
      </c>
      <c r="N86" s="1" t="s">
        <v>25</v>
      </c>
      <c r="O86" s="1"/>
      <c r="P86" s="1" t="s">
        <v>26</v>
      </c>
      <c r="Q86" s="1"/>
    </row>
    <row r="87" spans="1:17" hidden="1" x14ac:dyDescent="0.3">
      <c r="A87" s="3" t="s">
        <v>119</v>
      </c>
      <c r="B87" s="1" t="s">
        <v>28</v>
      </c>
      <c r="C87" s="1" t="s">
        <v>29</v>
      </c>
      <c r="D87" s="2">
        <v>4</v>
      </c>
      <c r="E87" s="1" t="s">
        <v>98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idden="1" x14ac:dyDescent="0.3">
      <c r="A88" s="3" t="s">
        <v>120</v>
      </c>
      <c r="B88" s="1" t="s">
        <v>31</v>
      </c>
      <c r="C88" s="1" t="s">
        <v>29</v>
      </c>
      <c r="D88" s="2">
        <v>4</v>
      </c>
      <c r="E88" s="1" t="s">
        <v>98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idden="1" x14ac:dyDescent="0.3">
      <c r="A89" s="3" t="s">
        <v>121</v>
      </c>
      <c r="B89" s="1" t="s">
        <v>33</v>
      </c>
      <c r="C89" s="1" t="s">
        <v>19</v>
      </c>
      <c r="D89" s="2">
        <v>4</v>
      </c>
      <c r="E89" s="1" t="s">
        <v>98</v>
      </c>
      <c r="F89" s="1"/>
      <c r="G89" s="1"/>
      <c r="H89" s="1"/>
      <c r="I89" s="1"/>
      <c r="J89" s="1"/>
      <c r="K89" s="1"/>
      <c r="L89" s="1"/>
      <c r="M89" s="1" t="s">
        <v>25</v>
      </c>
      <c r="N89" s="1" t="s">
        <v>25</v>
      </c>
      <c r="O89" s="1"/>
      <c r="P89" s="1"/>
      <c r="Q89" s="1"/>
    </row>
    <row r="90" spans="1:17" hidden="1" x14ac:dyDescent="0.3">
      <c r="A90" s="3" t="s">
        <v>122</v>
      </c>
      <c r="B90" s="1" t="s">
        <v>35</v>
      </c>
      <c r="C90" s="1" t="s">
        <v>29</v>
      </c>
      <c r="D90" s="2">
        <v>4</v>
      </c>
      <c r="E90" s="1" t="s">
        <v>98</v>
      </c>
      <c r="F90" s="1"/>
      <c r="G90" s="1"/>
      <c r="H90" s="1"/>
      <c r="I90" s="1"/>
      <c r="J90" s="1"/>
      <c r="K90" s="1"/>
      <c r="L90" s="1"/>
      <c r="M90" s="1" t="s">
        <v>25</v>
      </c>
      <c r="N90" s="1" t="s">
        <v>25</v>
      </c>
      <c r="O90" s="1"/>
      <c r="P90" s="1"/>
      <c r="Q90" s="1"/>
    </row>
    <row r="91" spans="1:17" hidden="1" x14ac:dyDescent="0.3">
      <c r="A91" s="3" t="s">
        <v>123</v>
      </c>
      <c r="B91" s="1" t="s">
        <v>37</v>
      </c>
      <c r="C91" s="1" t="s">
        <v>38</v>
      </c>
      <c r="D91" s="2">
        <v>4</v>
      </c>
      <c r="E91" s="1" t="s">
        <v>98</v>
      </c>
      <c r="F91" s="1"/>
      <c r="G91" s="1" t="s">
        <v>25</v>
      </c>
      <c r="H91" s="1" t="s">
        <v>25</v>
      </c>
      <c r="I91" s="1"/>
      <c r="J91" s="1"/>
      <c r="K91" s="1"/>
      <c r="L91" s="1"/>
      <c r="M91" s="1" t="s">
        <v>25</v>
      </c>
      <c r="N91" s="1" t="s">
        <v>25</v>
      </c>
      <c r="O91" s="1"/>
      <c r="P91" s="1" t="s">
        <v>26</v>
      </c>
      <c r="Q91" s="1"/>
    </row>
    <row r="92" spans="1:17" hidden="1" x14ac:dyDescent="0.3">
      <c r="A92" s="3" t="s">
        <v>124</v>
      </c>
      <c r="B92" s="1" t="s">
        <v>40</v>
      </c>
      <c r="C92" s="1"/>
      <c r="D92" s="2">
        <v>4</v>
      </c>
      <c r="E92" s="1" t="s">
        <v>98</v>
      </c>
      <c r="F92" s="1"/>
      <c r="G92" s="1" t="s">
        <v>25</v>
      </c>
      <c r="H92" s="1" t="s">
        <v>25</v>
      </c>
      <c r="I92" s="1"/>
      <c r="J92" s="1"/>
      <c r="K92" s="1"/>
      <c r="L92" s="1"/>
      <c r="M92" s="1" t="s">
        <v>25</v>
      </c>
      <c r="N92" s="1" t="s">
        <v>25</v>
      </c>
      <c r="O92" s="1"/>
      <c r="P92" s="1" t="s">
        <v>26</v>
      </c>
      <c r="Q92" s="1"/>
    </row>
    <row r="93" spans="1:17" hidden="1" x14ac:dyDescent="0.3">
      <c r="A93" s="3" t="s">
        <v>125</v>
      </c>
      <c r="B93" s="1" t="s">
        <v>18</v>
      </c>
      <c r="C93" s="1" t="s">
        <v>19</v>
      </c>
      <c r="D93" s="2">
        <v>5</v>
      </c>
      <c r="E93" s="1" t="s">
        <v>98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idden="1" x14ac:dyDescent="0.3">
      <c r="A94" s="3" t="s">
        <v>126</v>
      </c>
      <c r="B94" s="1" t="s">
        <v>22</v>
      </c>
      <c r="C94" s="1" t="s">
        <v>19</v>
      </c>
      <c r="D94" s="2">
        <v>5</v>
      </c>
      <c r="E94" s="1" t="s">
        <v>98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idden="1" x14ac:dyDescent="0.3">
      <c r="A95" s="3" t="s">
        <v>127</v>
      </c>
      <c r="B95" s="1" t="s">
        <v>24</v>
      </c>
      <c r="C95" s="1" t="s">
        <v>19</v>
      </c>
      <c r="D95" s="2">
        <v>5</v>
      </c>
      <c r="E95" s="1" t="s">
        <v>98</v>
      </c>
      <c r="F95" s="1"/>
      <c r="G95" s="1" t="s">
        <v>25</v>
      </c>
      <c r="H95" s="1" t="s">
        <v>25</v>
      </c>
      <c r="I95" s="1"/>
      <c r="J95" s="1"/>
      <c r="K95" s="1"/>
      <c r="L95" s="1"/>
      <c r="M95" s="1" t="s">
        <v>25</v>
      </c>
      <c r="N95" s="1" t="s">
        <v>25</v>
      </c>
      <c r="O95" s="1"/>
      <c r="P95" s="1" t="s">
        <v>26</v>
      </c>
      <c r="Q95" s="1"/>
    </row>
    <row r="96" spans="1:17" hidden="1" x14ac:dyDescent="0.3">
      <c r="A96" s="3" t="s">
        <v>128</v>
      </c>
      <c r="B96" s="1" t="s">
        <v>28</v>
      </c>
      <c r="C96" s="1" t="s">
        <v>29</v>
      </c>
      <c r="D96" s="2">
        <v>5</v>
      </c>
      <c r="E96" s="1" t="s">
        <v>98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idden="1" x14ac:dyDescent="0.3">
      <c r="A97" s="3" t="s">
        <v>129</v>
      </c>
      <c r="B97" s="1" t="s">
        <v>31</v>
      </c>
      <c r="C97" s="1" t="s">
        <v>29</v>
      </c>
      <c r="D97" s="2">
        <v>5</v>
      </c>
      <c r="E97" s="1" t="s">
        <v>98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idden="1" x14ac:dyDescent="0.3">
      <c r="A98" s="3" t="s">
        <v>130</v>
      </c>
      <c r="B98" s="1" t="s">
        <v>33</v>
      </c>
      <c r="C98" s="1" t="s">
        <v>19</v>
      </c>
      <c r="D98" s="2">
        <v>5</v>
      </c>
      <c r="E98" s="1" t="s">
        <v>98</v>
      </c>
      <c r="F98" s="1"/>
      <c r="G98" s="1"/>
      <c r="H98" s="1"/>
      <c r="I98" s="1"/>
      <c r="J98" s="1"/>
      <c r="K98" s="1"/>
      <c r="L98" s="1"/>
      <c r="M98" s="1" t="s">
        <v>25</v>
      </c>
      <c r="N98" s="1" t="s">
        <v>25</v>
      </c>
      <c r="O98" s="1"/>
      <c r="P98" s="1"/>
      <c r="Q98" s="1"/>
    </row>
    <row r="99" spans="1:17" hidden="1" x14ac:dyDescent="0.3">
      <c r="A99" s="3" t="s">
        <v>131</v>
      </c>
      <c r="B99" s="1" t="s">
        <v>35</v>
      </c>
      <c r="C99" s="1" t="s">
        <v>29</v>
      </c>
      <c r="D99" s="2">
        <v>5</v>
      </c>
      <c r="E99" s="1" t="s">
        <v>98</v>
      </c>
      <c r="F99" s="1"/>
      <c r="G99" s="1"/>
      <c r="H99" s="1"/>
      <c r="I99" s="1"/>
      <c r="J99" s="1"/>
      <c r="K99" s="1"/>
      <c r="L99" s="1"/>
      <c r="M99" s="1" t="s">
        <v>25</v>
      </c>
      <c r="N99" s="1" t="s">
        <v>25</v>
      </c>
      <c r="O99" s="1"/>
      <c r="P99" s="1"/>
      <c r="Q99" s="1"/>
    </row>
    <row r="100" spans="1:17" hidden="1" x14ac:dyDescent="0.3">
      <c r="A100" s="3" t="s">
        <v>132</v>
      </c>
      <c r="B100" s="1" t="s">
        <v>37</v>
      </c>
      <c r="C100" s="1" t="s">
        <v>38</v>
      </c>
      <c r="D100" s="2">
        <v>5</v>
      </c>
      <c r="E100" s="1" t="s">
        <v>98</v>
      </c>
      <c r="F100" s="1"/>
      <c r="G100" s="1" t="s">
        <v>25</v>
      </c>
      <c r="H100" s="1" t="s">
        <v>25</v>
      </c>
      <c r="I100" s="1"/>
      <c r="J100" s="1"/>
      <c r="K100" s="1"/>
      <c r="L100" s="1"/>
      <c r="M100" s="1" t="s">
        <v>25</v>
      </c>
      <c r="N100" s="1" t="s">
        <v>25</v>
      </c>
      <c r="O100" s="1"/>
      <c r="P100" s="1" t="s">
        <v>26</v>
      </c>
      <c r="Q100" s="1"/>
    </row>
    <row r="101" spans="1:17" hidden="1" x14ac:dyDescent="0.3">
      <c r="A101" s="3" t="s">
        <v>133</v>
      </c>
      <c r="B101" s="1" t="s">
        <v>40</v>
      </c>
      <c r="C101" s="1"/>
      <c r="D101" s="2">
        <v>5</v>
      </c>
      <c r="E101" s="1" t="s">
        <v>98</v>
      </c>
      <c r="F101" s="1"/>
      <c r="G101" s="1" t="s">
        <v>25</v>
      </c>
      <c r="H101" s="1" t="s">
        <v>25</v>
      </c>
      <c r="I101" s="1"/>
      <c r="J101" s="1"/>
      <c r="K101" s="1"/>
      <c r="L101" s="1"/>
      <c r="M101" s="1" t="s">
        <v>25</v>
      </c>
      <c r="N101" s="1" t="s">
        <v>25</v>
      </c>
      <c r="O101" s="1"/>
      <c r="P101" s="1" t="s">
        <v>26</v>
      </c>
      <c r="Q101" s="1"/>
    </row>
    <row r="102" spans="1:17" hidden="1" x14ac:dyDescent="0.3">
      <c r="A102" s="3" t="s">
        <v>134</v>
      </c>
      <c r="B102" s="1" t="s">
        <v>18</v>
      </c>
      <c r="C102" s="1" t="s">
        <v>19</v>
      </c>
      <c r="D102" s="2">
        <v>5.0999999999999996</v>
      </c>
      <c r="E102" s="1" t="s">
        <v>98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idden="1" x14ac:dyDescent="0.3">
      <c r="A103" s="3" t="s">
        <v>135</v>
      </c>
      <c r="B103" s="1" t="s">
        <v>22</v>
      </c>
      <c r="C103" s="1" t="s">
        <v>19</v>
      </c>
      <c r="D103" s="2">
        <v>5.0999999999999996</v>
      </c>
      <c r="E103" s="1" t="s">
        <v>98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idden="1" x14ac:dyDescent="0.3">
      <c r="A104" s="3" t="s">
        <v>136</v>
      </c>
      <c r="B104" s="1" t="s">
        <v>24</v>
      </c>
      <c r="C104" s="1" t="s">
        <v>19</v>
      </c>
      <c r="D104" s="2">
        <v>5.0999999999999996</v>
      </c>
      <c r="E104" s="1" t="s">
        <v>98</v>
      </c>
      <c r="F104" s="1"/>
      <c r="G104" s="1" t="s">
        <v>25</v>
      </c>
      <c r="H104" s="1" t="s">
        <v>25</v>
      </c>
      <c r="I104" s="1"/>
      <c r="J104" s="1"/>
      <c r="K104" s="1"/>
      <c r="L104" s="1"/>
      <c r="M104" s="1" t="s">
        <v>25</v>
      </c>
      <c r="N104" s="1" t="s">
        <v>25</v>
      </c>
      <c r="O104" s="1"/>
      <c r="P104" s="1" t="s">
        <v>26</v>
      </c>
      <c r="Q104" s="1"/>
    </row>
    <row r="105" spans="1:17" hidden="1" x14ac:dyDescent="0.3">
      <c r="A105" s="3" t="s">
        <v>137</v>
      </c>
      <c r="B105" s="1" t="s">
        <v>28</v>
      </c>
      <c r="C105" s="1" t="s">
        <v>29</v>
      </c>
      <c r="D105" s="2">
        <v>5.0999999999999996</v>
      </c>
      <c r="E105" s="1" t="s">
        <v>98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idden="1" x14ac:dyDescent="0.3">
      <c r="A106" s="3" t="s">
        <v>138</v>
      </c>
      <c r="B106" s="1" t="s">
        <v>31</v>
      </c>
      <c r="C106" s="1" t="s">
        <v>29</v>
      </c>
      <c r="D106" s="2">
        <v>5.0999999999999996</v>
      </c>
      <c r="E106" s="1" t="s">
        <v>98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idden="1" x14ac:dyDescent="0.3">
      <c r="A107" s="3" t="s">
        <v>139</v>
      </c>
      <c r="B107" s="1" t="s">
        <v>33</v>
      </c>
      <c r="C107" s="1" t="s">
        <v>19</v>
      </c>
      <c r="D107" s="2">
        <v>5.0999999999999996</v>
      </c>
      <c r="E107" s="1" t="s">
        <v>98</v>
      </c>
      <c r="F107" s="1"/>
      <c r="G107" s="1"/>
      <c r="H107" s="1"/>
      <c r="I107" s="1"/>
      <c r="J107" s="1"/>
      <c r="K107" s="1"/>
      <c r="L107" s="1"/>
      <c r="M107" s="1" t="s">
        <v>25</v>
      </c>
      <c r="N107" s="1" t="s">
        <v>25</v>
      </c>
      <c r="O107" s="1"/>
      <c r="P107" s="1"/>
      <c r="Q107" s="1"/>
    </row>
    <row r="108" spans="1:17" hidden="1" x14ac:dyDescent="0.3">
      <c r="A108" s="3" t="s">
        <v>140</v>
      </c>
      <c r="B108" s="1" t="s">
        <v>35</v>
      </c>
      <c r="C108" s="1" t="s">
        <v>29</v>
      </c>
      <c r="D108" s="2">
        <v>5.0999999999999996</v>
      </c>
      <c r="E108" s="1" t="s">
        <v>98</v>
      </c>
      <c r="F108" s="1"/>
      <c r="G108" s="1"/>
      <c r="H108" s="1"/>
      <c r="I108" s="1"/>
      <c r="J108" s="1"/>
      <c r="K108" s="1"/>
      <c r="L108" s="1"/>
      <c r="M108" s="1" t="s">
        <v>25</v>
      </c>
      <c r="N108" s="1" t="s">
        <v>25</v>
      </c>
      <c r="O108" s="1"/>
      <c r="P108" s="1"/>
      <c r="Q108" s="1"/>
    </row>
    <row r="109" spans="1:17" hidden="1" x14ac:dyDescent="0.3">
      <c r="A109" s="3" t="s">
        <v>141</v>
      </c>
      <c r="B109" s="1" t="s">
        <v>37</v>
      </c>
      <c r="C109" s="1" t="s">
        <v>38</v>
      </c>
      <c r="D109" s="2">
        <v>5.0999999999999996</v>
      </c>
      <c r="E109" s="1" t="s">
        <v>98</v>
      </c>
      <c r="F109" s="1"/>
      <c r="G109" s="1" t="s">
        <v>25</v>
      </c>
      <c r="H109" s="1" t="s">
        <v>25</v>
      </c>
      <c r="I109" s="1"/>
      <c r="J109" s="1"/>
      <c r="K109" s="1"/>
      <c r="L109" s="1"/>
      <c r="M109" s="1" t="s">
        <v>25</v>
      </c>
      <c r="N109" s="1" t="s">
        <v>25</v>
      </c>
      <c r="O109" s="1"/>
      <c r="P109" s="1" t="s">
        <v>26</v>
      </c>
      <c r="Q109" s="1"/>
    </row>
    <row r="110" spans="1:17" hidden="1" x14ac:dyDescent="0.3">
      <c r="A110" s="3" t="s">
        <v>142</v>
      </c>
      <c r="B110" s="1" t="s">
        <v>40</v>
      </c>
      <c r="C110" s="1"/>
      <c r="D110" s="2">
        <v>5.0999999999999996</v>
      </c>
      <c r="E110" s="1" t="s">
        <v>98</v>
      </c>
      <c r="F110" s="1"/>
      <c r="G110" s="1" t="s">
        <v>25</v>
      </c>
      <c r="H110" s="1" t="s">
        <v>25</v>
      </c>
      <c r="I110" s="1"/>
      <c r="J110" s="1"/>
      <c r="K110" s="1"/>
      <c r="L110" s="1"/>
      <c r="M110" s="1" t="s">
        <v>25</v>
      </c>
      <c r="N110" s="1" t="s">
        <v>25</v>
      </c>
      <c r="O110" s="1"/>
      <c r="P110" s="1" t="s">
        <v>26</v>
      </c>
      <c r="Q110" s="1"/>
    </row>
    <row r="111" spans="1:17" hidden="1" x14ac:dyDescent="0.3">
      <c r="A111" s="3" t="s">
        <v>143</v>
      </c>
      <c r="B111" s="1" t="s">
        <v>18</v>
      </c>
      <c r="C111" s="1" t="s">
        <v>19</v>
      </c>
      <c r="D111" s="2">
        <v>5.2</v>
      </c>
      <c r="E111" s="1" t="s">
        <v>98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idden="1" x14ac:dyDescent="0.3">
      <c r="A112" s="3" t="s">
        <v>144</v>
      </c>
      <c r="B112" s="1" t="s">
        <v>22</v>
      </c>
      <c r="C112" s="1" t="s">
        <v>19</v>
      </c>
      <c r="D112" s="2">
        <v>5.2</v>
      </c>
      <c r="E112" s="1" t="s">
        <v>98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idden="1" x14ac:dyDescent="0.3">
      <c r="A113" s="3" t="s">
        <v>145</v>
      </c>
      <c r="B113" s="1" t="s">
        <v>24</v>
      </c>
      <c r="C113" s="1" t="s">
        <v>19</v>
      </c>
      <c r="D113" s="2">
        <v>5.2</v>
      </c>
      <c r="E113" s="1" t="s">
        <v>98</v>
      </c>
      <c r="F113" s="1"/>
      <c r="G113" s="1" t="s">
        <v>25</v>
      </c>
      <c r="H113" s="1" t="s">
        <v>25</v>
      </c>
      <c r="I113" s="1"/>
      <c r="J113" s="1"/>
      <c r="K113" s="1"/>
      <c r="L113" s="1"/>
      <c r="M113" s="1" t="s">
        <v>25</v>
      </c>
      <c r="N113" s="1" t="s">
        <v>25</v>
      </c>
      <c r="O113" s="1"/>
      <c r="P113" s="1" t="s">
        <v>26</v>
      </c>
      <c r="Q113" s="1"/>
    </row>
    <row r="114" spans="1:17" hidden="1" x14ac:dyDescent="0.3">
      <c r="A114" s="3" t="s">
        <v>146</v>
      </c>
      <c r="B114" s="1" t="s">
        <v>28</v>
      </c>
      <c r="C114" s="1" t="s">
        <v>29</v>
      </c>
      <c r="D114" s="2">
        <v>5.2</v>
      </c>
      <c r="E114" s="1" t="s">
        <v>98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idden="1" x14ac:dyDescent="0.3">
      <c r="A115" s="3" t="s">
        <v>147</v>
      </c>
      <c r="B115" s="1" t="s">
        <v>31</v>
      </c>
      <c r="C115" s="1" t="s">
        <v>29</v>
      </c>
      <c r="D115" s="2">
        <v>5.2</v>
      </c>
      <c r="E115" s="1" t="s">
        <v>98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idden="1" x14ac:dyDescent="0.3">
      <c r="A116" s="3" t="s">
        <v>148</v>
      </c>
      <c r="B116" s="1" t="s">
        <v>33</v>
      </c>
      <c r="C116" s="1" t="s">
        <v>19</v>
      </c>
      <c r="D116" s="2">
        <v>5.2</v>
      </c>
      <c r="E116" s="1" t="s">
        <v>98</v>
      </c>
      <c r="F116" s="1"/>
      <c r="G116" s="1"/>
      <c r="H116" s="1"/>
      <c r="I116" s="1"/>
      <c r="J116" s="1"/>
      <c r="K116" s="1"/>
      <c r="L116" s="1"/>
      <c r="M116" s="1" t="s">
        <v>25</v>
      </c>
      <c r="N116" s="1" t="s">
        <v>25</v>
      </c>
      <c r="O116" s="1"/>
      <c r="P116" s="1"/>
      <c r="Q116" s="1"/>
    </row>
    <row r="117" spans="1:17" hidden="1" x14ac:dyDescent="0.3">
      <c r="A117" s="3" t="s">
        <v>149</v>
      </c>
      <c r="B117" s="1" t="s">
        <v>35</v>
      </c>
      <c r="C117" s="1" t="s">
        <v>29</v>
      </c>
      <c r="D117" s="2">
        <v>5.2</v>
      </c>
      <c r="E117" s="1" t="s">
        <v>98</v>
      </c>
      <c r="F117" s="1"/>
      <c r="G117" s="1"/>
      <c r="H117" s="1"/>
      <c r="I117" s="1"/>
      <c r="J117" s="1"/>
      <c r="K117" s="1"/>
      <c r="L117" s="1"/>
      <c r="M117" s="1" t="s">
        <v>25</v>
      </c>
      <c r="N117" s="1" t="s">
        <v>25</v>
      </c>
      <c r="O117" s="1"/>
      <c r="P117" s="1"/>
      <c r="Q117" s="1"/>
    </row>
    <row r="118" spans="1:17" hidden="1" x14ac:dyDescent="0.3">
      <c r="A118" s="3" t="s">
        <v>150</v>
      </c>
      <c r="B118" s="1" t="s">
        <v>37</v>
      </c>
      <c r="C118" s="1" t="s">
        <v>38</v>
      </c>
      <c r="D118" s="2">
        <v>5.2</v>
      </c>
      <c r="E118" s="1" t="s">
        <v>98</v>
      </c>
      <c r="F118" s="1"/>
      <c r="G118" s="1" t="s">
        <v>25</v>
      </c>
      <c r="H118" s="1" t="s">
        <v>25</v>
      </c>
      <c r="I118" s="1"/>
      <c r="J118" s="1"/>
      <c r="K118" s="1"/>
      <c r="L118" s="1"/>
      <c r="M118" s="1" t="s">
        <v>25</v>
      </c>
      <c r="N118" s="1" t="s">
        <v>25</v>
      </c>
      <c r="O118" s="1"/>
      <c r="P118" s="1" t="s">
        <v>26</v>
      </c>
      <c r="Q118" s="1"/>
    </row>
    <row r="119" spans="1:17" hidden="1" x14ac:dyDescent="0.3">
      <c r="A119" s="3" t="s">
        <v>151</v>
      </c>
      <c r="B119" s="1" t="s">
        <v>40</v>
      </c>
      <c r="C119" s="1"/>
      <c r="D119" s="2">
        <v>5.2</v>
      </c>
      <c r="E119" s="1" t="s">
        <v>98</v>
      </c>
      <c r="F119" s="1"/>
      <c r="G119" s="1" t="s">
        <v>25</v>
      </c>
      <c r="H119" s="1" t="s">
        <v>25</v>
      </c>
      <c r="I119" s="1"/>
      <c r="J119" s="1"/>
      <c r="K119" s="1"/>
      <c r="L119" s="1"/>
      <c r="M119" s="1" t="s">
        <v>25</v>
      </c>
      <c r="N119" s="1" t="s">
        <v>25</v>
      </c>
      <c r="O119" s="1"/>
      <c r="P119" s="1" t="s">
        <v>26</v>
      </c>
      <c r="Q119" s="1"/>
    </row>
    <row r="120" spans="1:17" hidden="1" x14ac:dyDescent="0.3">
      <c r="A120" s="3" t="s">
        <v>152</v>
      </c>
      <c r="B120" s="1" t="s">
        <v>18</v>
      </c>
      <c r="C120" s="1" t="s">
        <v>19</v>
      </c>
      <c r="D120" s="2">
        <v>5.3</v>
      </c>
      <c r="E120" s="1" t="s">
        <v>98</v>
      </c>
      <c r="F120" s="1"/>
      <c r="G120" s="1"/>
      <c r="H120" s="42"/>
      <c r="I120" s="42"/>
      <c r="J120" s="1"/>
      <c r="K120" s="42"/>
      <c r="L120" s="42"/>
      <c r="M120" s="1"/>
      <c r="N120" s="42"/>
      <c r="O120" s="42"/>
      <c r="P120" s="1"/>
      <c r="Q120" s="1"/>
    </row>
    <row r="121" spans="1:17" hidden="1" x14ac:dyDescent="0.3">
      <c r="A121" s="3" t="s">
        <v>153</v>
      </c>
      <c r="B121" s="1" t="s">
        <v>22</v>
      </c>
      <c r="C121" s="1" t="s">
        <v>19</v>
      </c>
      <c r="D121" s="2">
        <v>5.3</v>
      </c>
      <c r="E121" s="1" t="s">
        <v>98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idden="1" x14ac:dyDescent="0.3">
      <c r="A122" s="3" t="s">
        <v>154</v>
      </c>
      <c r="B122" s="1" t="s">
        <v>24</v>
      </c>
      <c r="C122" s="1" t="s">
        <v>19</v>
      </c>
      <c r="D122" s="2">
        <v>5.3</v>
      </c>
      <c r="E122" s="1" t="s">
        <v>98</v>
      </c>
      <c r="F122" s="1"/>
      <c r="G122" s="1" t="s">
        <v>25</v>
      </c>
      <c r="H122" s="1" t="s">
        <v>25</v>
      </c>
      <c r="I122" s="1"/>
      <c r="J122" s="1"/>
      <c r="K122" s="1"/>
      <c r="L122" s="1"/>
      <c r="M122" s="1" t="s">
        <v>25</v>
      </c>
      <c r="N122" s="1" t="s">
        <v>25</v>
      </c>
      <c r="O122" s="1"/>
      <c r="P122" s="1" t="s">
        <v>26</v>
      </c>
      <c r="Q122" s="1"/>
    </row>
    <row r="123" spans="1:17" hidden="1" x14ac:dyDescent="0.3">
      <c r="A123" s="3" t="s">
        <v>155</v>
      </c>
      <c r="B123" s="1" t="s">
        <v>28</v>
      </c>
      <c r="C123" s="1" t="s">
        <v>29</v>
      </c>
      <c r="D123" s="2">
        <v>5.3</v>
      </c>
      <c r="E123" s="1" t="s">
        <v>98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idden="1" x14ac:dyDescent="0.3">
      <c r="A124" s="3" t="s">
        <v>156</v>
      </c>
      <c r="B124" s="1" t="s">
        <v>31</v>
      </c>
      <c r="C124" s="1" t="s">
        <v>29</v>
      </c>
      <c r="D124" s="2">
        <v>5.3</v>
      </c>
      <c r="E124" s="1" t="s">
        <v>98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idden="1" x14ac:dyDescent="0.3">
      <c r="A125" s="3" t="s">
        <v>157</v>
      </c>
      <c r="B125" s="1" t="s">
        <v>33</v>
      </c>
      <c r="C125" s="1" t="s">
        <v>19</v>
      </c>
      <c r="D125" s="2">
        <v>5.3</v>
      </c>
      <c r="E125" s="1" t="s">
        <v>98</v>
      </c>
      <c r="F125" s="1"/>
      <c r="G125" s="1"/>
      <c r="H125" s="1"/>
      <c r="I125" s="1"/>
      <c r="J125" s="1"/>
      <c r="K125" s="1"/>
      <c r="L125" s="1"/>
      <c r="M125" s="1" t="s">
        <v>25</v>
      </c>
      <c r="N125" s="1" t="s">
        <v>25</v>
      </c>
      <c r="O125" s="1"/>
      <c r="P125" s="1"/>
      <c r="Q125" s="1"/>
    </row>
    <row r="126" spans="1:17" hidden="1" x14ac:dyDescent="0.3">
      <c r="A126" s="3" t="s">
        <v>158</v>
      </c>
      <c r="B126" s="1" t="s">
        <v>35</v>
      </c>
      <c r="C126" s="1" t="s">
        <v>29</v>
      </c>
      <c r="D126" s="2">
        <v>5.3</v>
      </c>
      <c r="E126" s="1" t="s">
        <v>98</v>
      </c>
      <c r="F126" s="1"/>
      <c r="G126" s="1"/>
      <c r="H126" s="1"/>
      <c r="I126" s="1"/>
      <c r="J126" s="1"/>
      <c r="K126" s="1"/>
      <c r="L126" s="1"/>
      <c r="M126" s="1" t="s">
        <v>25</v>
      </c>
      <c r="N126" s="1" t="s">
        <v>25</v>
      </c>
      <c r="O126" s="1"/>
      <c r="P126" s="1"/>
      <c r="Q126" s="1"/>
    </row>
    <row r="127" spans="1:17" hidden="1" x14ac:dyDescent="0.3">
      <c r="A127" s="3" t="s">
        <v>159</v>
      </c>
      <c r="B127" s="1" t="s">
        <v>37</v>
      </c>
      <c r="C127" s="1" t="s">
        <v>38</v>
      </c>
      <c r="D127" s="2">
        <v>5.3</v>
      </c>
      <c r="E127" s="1" t="s">
        <v>98</v>
      </c>
      <c r="F127" s="1"/>
      <c r="G127" s="1" t="s">
        <v>25</v>
      </c>
      <c r="H127" s="1" t="s">
        <v>25</v>
      </c>
      <c r="I127" s="1"/>
      <c r="J127" s="1"/>
      <c r="K127" s="1"/>
      <c r="L127" s="1"/>
      <c r="M127" s="1" t="s">
        <v>25</v>
      </c>
      <c r="N127" s="1" t="s">
        <v>25</v>
      </c>
      <c r="O127" s="1"/>
      <c r="P127" s="1" t="s">
        <v>26</v>
      </c>
      <c r="Q127" s="1"/>
    </row>
    <row r="128" spans="1:17" hidden="1" x14ac:dyDescent="0.3">
      <c r="A128" s="3" t="s">
        <v>160</v>
      </c>
      <c r="B128" s="1" t="s">
        <v>40</v>
      </c>
      <c r="C128" s="1"/>
      <c r="D128" s="2">
        <v>5.3</v>
      </c>
      <c r="E128" s="1" t="s">
        <v>98</v>
      </c>
      <c r="F128" s="1"/>
      <c r="G128" s="1" t="s">
        <v>25</v>
      </c>
      <c r="H128" s="1" t="s">
        <v>25</v>
      </c>
      <c r="I128" s="1"/>
      <c r="J128" s="1"/>
      <c r="K128" s="1"/>
      <c r="L128" s="1"/>
      <c r="M128" s="1" t="s">
        <v>25</v>
      </c>
      <c r="N128" s="1" t="s">
        <v>25</v>
      </c>
      <c r="O128" s="1"/>
      <c r="P128" s="1" t="s">
        <v>26</v>
      </c>
      <c r="Q128" s="1"/>
    </row>
    <row r="129" spans="1:17" hidden="1" x14ac:dyDescent="0.3">
      <c r="A129" s="3" t="s">
        <v>161</v>
      </c>
      <c r="B129" s="1" t="s">
        <v>96</v>
      </c>
      <c r="C129" s="1"/>
      <c r="D129" s="2">
        <v>5.3</v>
      </c>
      <c r="E129" s="1" t="s">
        <v>98</v>
      </c>
      <c r="F129" s="1"/>
      <c r="G129" s="1" t="s">
        <v>25</v>
      </c>
      <c r="H129" s="1" t="s">
        <v>25</v>
      </c>
      <c r="I129" s="1"/>
      <c r="J129" s="1"/>
      <c r="K129" s="1"/>
      <c r="L129" s="1"/>
      <c r="M129" s="1" t="s">
        <v>25</v>
      </c>
      <c r="N129" s="1" t="s">
        <v>25</v>
      </c>
      <c r="O129" s="1"/>
      <c r="P129" s="1" t="s">
        <v>26</v>
      </c>
      <c r="Q129" s="1"/>
    </row>
    <row r="130" spans="1:17" hidden="1" x14ac:dyDescent="0.3">
      <c r="A130" s="3" t="s">
        <v>162</v>
      </c>
      <c r="B130" s="1" t="s">
        <v>18</v>
      </c>
      <c r="C130" s="1" t="s">
        <v>19</v>
      </c>
      <c r="D130" s="2">
        <v>3</v>
      </c>
      <c r="E130" s="1" t="s">
        <v>163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 t="s">
        <v>164</v>
      </c>
      <c r="Q130" s="1"/>
    </row>
    <row r="131" spans="1:17" hidden="1" x14ac:dyDescent="0.3">
      <c r="A131" s="3" t="s">
        <v>165</v>
      </c>
      <c r="B131" s="1" t="s">
        <v>22</v>
      </c>
      <c r="C131" s="1" t="s">
        <v>19</v>
      </c>
      <c r="D131" s="2">
        <v>3</v>
      </c>
      <c r="E131" s="1" t="s">
        <v>163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 t="s">
        <v>166</v>
      </c>
      <c r="Q131" s="1"/>
    </row>
    <row r="132" spans="1:17" hidden="1" x14ac:dyDescent="0.3">
      <c r="A132" s="3" t="s">
        <v>167</v>
      </c>
      <c r="B132" s="1" t="s">
        <v>24</v>
      </c>
      <c r="C132" s="1" t="s">
        <v>19</v>
      </c>
      <c r="D132" s="2">
        <v>3</v>
      </c>
      <c r="E132" s="1" t="s">
        <v>163</v>
      </c>
      <c r="F132" s="1"/>
      <c r="G132" s="1" t="s">
        <v>25</v>
      </c>
      <c r="H132" s="1" t="s">
        <v>25</v>
      </c>
      <c r="I132" s="1"/>
      <c r="J132" s="1"/>
      <c r="K132" s="1"/>
      <c r="L132" s="1"/>
      <c r="M132" s="1" t="s">
        <v>25</v>
      </c>
      <c r="N132" s="1" t="s">
        <v>25</v>
      </c>
      <c r="O132" s="1"/>
      <c r="P132" s="1" t="s">
        <v>26</v>
      </c>
      <c r="Q132" s="1"/>
    </row>
    <row r="133" spans="1:17" hidden="1" x14ac:dyDescent="0.3">
      <c r="A133" s="3" t="s">
        <v>168</v>
      </c>
      <c r="B133" s="1" t="s">
        <v>28</v>
      </c>
      <c r="C133" s="1" t="s">
        <v>29</v>
      </c>
      <c r="D133" s="2">
        <v>3</v>
      </c>
      <c r="E133" s="1" t="s">
        <v>163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 t="s">
        <v>164</v>
      </c>
      <c r="Q133" s="1"/>
    </row>
    <row r="134" spans="1:17" hidden="1" x14ac:dyDescent="0.3">
      <c r="A134" s="3" t="s">
        <v>169</v>
      </c>
      <c r="B134" s="1" t="s">
        <v>31</v>
      </c>
      <c r="C134" s="1" t="s">
        <v>29</v>
      </c>
      <c r="D134" s="2">
        <v>3</v>
      </c>
      <c r="E134" s="1" t="s">
        <v>163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 t="s">
        <v>166</v>
      </c>
      <c r="Q134" s="1"/>
    </row>
    <row r="135" spans="1:17" hidden="1" x14ac:dyDescent="0.3">
      <c r="A135" s="3" t="s">
        <v>170</v>
      </c>
      <c r="B135" s="1" t="s">
        <v>33</v>
      </c>
      <c r="C135" s="1" t="s">
        <v>19</v>
      </c>
      <c r="D135" s="2">
        <v>3</v>
      </c>
      <c r="E135" s="1" t="s">
        <v>163</v>
      </c>
      <c r="F135" s="1"/>
      <c r="G135" s="1"/>
      <c r="H135" s="1"/>
      <c r="I135" s="1"/>
      <c r="J135" s="1"/>
      <c r="K135" s="1"/>
      <c r="L135" s="1"/>
      <c r="M135" s="1" t="s">
        <v>25</v>
      </c>
      <c r="N135" s="1" t="s">
        <v>25</v>
      </c>
      <c r="O135" s="1"/>
      <c r="P135" s="1" t="s">
        <v>166</v>
      </c>
      <c r="Q135" s="1"/>
    </row>
    <row r="136" spans="1:17" hidden="1" x14ac:dyDescent="0.3">
      <c r="A136" s="3" t="s">
        <v>171</v>
      </c>
      <c r="B136" s="1" t="s">
        <v>35</v>
      </c>
      <c r="C136" s="1" t="s">
        <v>29</v>
      </c>
      <c r="D136" s="2">
        <v>3</v>
      </c>
      <c r="E136" s="1" t="s">
        <v>163</v>
      </c>
      <c r="F136" s="1"/>
      <c r="G136" s="1"/>
      <c r="H136" s="1"/>
      <c r="I136" s="1"/>
      <c r="J136" s="1"/>
      <c r="K136" s="1"/>
      <c r="L136" s="1"/>
      <c r="M136" s="1" t="s">
        <v>25</v>
      </c>
      <c r="N136" s="1" t="s">
        <v>25</v>
      </c>
      <c r="O136" s="1"/>
      <c r="P136" s="1" t="s">
        <v>166</v>
      </c>
      <c r="Q136" s="1"/>
    </row>
    <row r="137" spans="1:17" hidden="1" x14ac:dyDescent="0.3">
      <c r="A137" s="3" t="s">
        <v>172</v>
      </c>
      <c r="B137" s="1" t="s">
        <v>37</v>
      </c>
      <c r="C137" s="1" t="s">
        <v>38</v>
      </c>
      <c r="D137" s="2">
        <v>3</v>
      </c>
      <c r="E137" s="1" t="s">
        <v>163</v>
      </c>
      <c r="F137" s="1"/>
      <c r="G137" s="1" t="s">
        <v>25</v>
      </c>
      <c r="H137" s="1" t="s">
        <v>25</v>
      </c>
      <c r="I137" s="1"/>
      <c r="J137" s="1"/>
      <c r="K137" s="1"/>
      <c r="L137" s="1"/>
      <c r="M137" s="1" t="s">
        <v>25</v>
      </c>
      <c r="N137" s="1" t="s">
        <v>25</v>
      </c>
      <c r="O137" s="1"/>
      <c r="P137" s="1" t="s">
        <v>26</v>
      </c>
      <c r="Q137" s="1"/>
    </row>
    <row r="138" spans="1:17" hidden="1" x14ac:dyDescent="0.3">
      <c r="A138" s="3" t="s">
        <v>173</v>
      </c>
      <c r="B138" s="1" t="s">
        <v>40</v>
      </c>
      <c r="C138" s="1"/>
      <c r="D138" s="2">
        <v>3</v>
      </c>
      <c r="E138" s="1" t="s">
        <v>163</v>
      </c>
      <c r="F138" s="1"/>
      <c r="G138" s="1" t="s">
        <v>25</v>
      </c>
      <c r="H138" s="1" t="s">
        <v>25</v>
      </c>
      <c r="I138" s="1"/>
      <c r="J138" s="1"/>
      <c r="K138" s="1"/>
      <c r="L138" s="1"/>
      <c r="M138" s="1" t="s">
        <v>25</v>
      </c>
      <c r="N138" s="1" t="s">
        <v>25</v>
      </c>
      <c r="O138" s="1"/>
      <c r="P138" s="1" t="s">
        <v>26</v>
      </c>
      <c r="Q138" s="1"/>
    </row>
    <row r="139" spans="1:17" hidden="1" x14ac:dyDescent="0.3">
      <c r="A139" s="3" t="s">
        <v>174</v>
      </c>
      <c r="B139" s="1" t="s">
        <v>18</v>
      </c>
      <c r="C139" s="1" t="s">
        <v>19</v>
      </c>
      <c r="D139" s="2">
        <v>3.1</v>
      </c>
      <c r="E139" s="1" t="s">
        <v>163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 t="s">
        <v>164</v>
      </c>
      <c r="Q139" s="1"/>
    </row>
    <row r="140" spans="1:17" hidden="1" x14ac:dyDescent="0.3">
      <c r="A140" s="3" t="s">
        <v>175</v>
      </c>
      <c r="B140" s="1" t="s">
        <v>22</v>
      </c>
      <c r="C140" s="1" t="s">
        <v>19</v>
      </c>
      <c r="D140" s="2">
        <v>3.1</v>
      </c>
      <c r="E140" s="1" t="s">
        <v>163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 t="s">
        <v>166</v>
      </c>
      <c r="Q140" s="1"/>
    </row>
    <row r="141" spans="1:17" hidden="1" x14ac:dyDescent="0.3">
      <c r="A141" s="3" t="s">
        <v>176</v>
      </c>
      <c r="B141" s="1" t="s">
        <v>24</v>
      </c>
      <c r="C141" s="1" t="s">
        <v>19</v>
      </c>
      <c r="D141" s="2">
        <v>3.1</v>
      </c>
      <c r="E141" s="1" t="s">
        <v>163</v>
      </c>
      <c r="F141" s="1"/>
      <c r="G141" s="1" t="s">
        <v>25</v>
      </c>
      <c r="H141" s="1" t="s">
        <v>25</v>
      </c>
      <c r="I141" s="1"/>
      <c r="J141" s="1"/>
      <c r="K141" s="1"/>
      <c r="L141" s="1"/>
      <c r="M141" s="1" t="s">
        <v>25</v>
      </c>
      <c r="N141" s="1" t="s">
        <v>25</v>
      </c>
      <c r="O141" s="1"/>
      <c r="P141" s="1" t="s">
        <v>26</v>
      </c>
      <c r="Q141" s="1"/>
    </row>
    <row r="142" spans="1:17" hidden="1" x14ac:dyDescent="0.3">
      <c r="A142" s="3" t="s">
        <v>177</v>
      </c>
      <c r="B142" s="1" t="s">
        <v>28</v>
      </c>
      <c r="C142" s="1" t="s">
        <v>29</v>
      </c>
      <c r="D142" s="2">
        <v>3.1</v>
      </c>
      <c r="E142" s="1" t="s">
        <v>163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 t="s">
        <v>164</v>
      </c>
      <c r="Q142" s="1"/>
    </row>
    <row r="143" spans="1:17" hidden="1" x14ac:dyDescent="0.3">
      <c r="A143" s="3" t="s">
        <v>178</v>
      </c>
      <c r="B143" s="1" t="s">
        <v>31</v>
      </c>
      <c r="C143" s="1" t="s">
        <v>29</v>
      </c>
      <c r="D143" s="2">
        <v>3.1</v>
      </c>
      <c r="E143" s="1" t="s">
        <v>163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 t="s">
        <v>166</v>
      </c>
      <c r="Q143" s="1"/>
    </row>
    <row r="144" spans="1:17" hidden="1" x14ac:dyDescent="0.3">
      <c r="A144" s="3" t="s">
        <v>179</v>
      </c>
      <c r="B144" s="1" t="s">
        <v>33</v>
      </c>
      <c r="C144" s="1" t="s">
        <v>19</v>
      </c>
      <c r="D144" s="2">
        <v>3.1</v>
      </c>
      <c r="E144" s="1" t="s">
        <v>163</v>
      </c>
      <c r="F144" s="1"/>
      <c r="G144" s="1"/>
      <c r="H144" s="1"/>
      <c r="I144" s="1"/>
      <c r="J144" s="1"/>
      <c r="K144" s="1"/>
      <c r="L144" s="1"/>
      <c r="M144" s="1" t="s">
        <v>25</v>
      </c>
      <c r="N144" s="1" t="s">
        <v>25</v>
      </c>
      <c r="O144" s="1"/>
      <c r="P144" s="1" t="s">
        <v>166</v>
      </c>
      <c r="Q144" s="1"/>
    </row>
    <row r="145" spans="1:17" hidden="1" x14ac:dyDescent="0.3">
      <c r="A145" s="3" t="s">
        <v>180</v>
      </c>
      <c r="B145" s="1" t="s">
        <v>35</v>
      </c>
      <c r="C145" s="1" t="s">
        <v>29</v>
      </c>
      <c r="D145" s="2">
        <v>3.1</v>
      </c>
      <c r="E145" s="1" t="s">
        <v>163</v>
      </c>
      <c r="F145" s="1"/>
      <c r="G145" s="1"/>
      <c r="H145" s="1"/>
      <c r="I145" s="1"/>
      <c r="J145" s="1"/>
      <c r="K145" s="1"/>
      <c r="L145" s="1"/>
      <c r="M145" s="1" t="s">
        <v>25</v>
      </c>
      <c r="N145" s="1" t="s">
        <v>25</v>
      </c>
      <c r="O145" s="1"/>
      <c r="P145" s="1" t="s">
        <v>166</v>
      </c>
      <c r="Q145" s="1"/>
    </row>
    <row r="146" spans="1:17" hidden="1" x14ac:dyDescent="0.3">
      <c r="A146" s="3" t="s">
        <v>181</v>
      </c>
      <c r="B146" s="1" t="s">
        <v>37</v>
      </c>
      <c r="C146" s="1" t="s">
        <v>38</v>
      </c>
      <c r="D146" s="2">
        <v>3.1</v>
      </c>
      <c r="E146" s="1" t="s">
        <v>163</v>
      </c>
      <c r="F146" s="1"/>
      <c r="G146" s="1" t="s">
        <v>25</v>
      </c>
      <c r="H146" s="1" t="s">
        <v>25</v>
      </c>
      <c r="I146" s="1"/>
      <c r="J146" s="1"/>
      <c r="K146" s="1"/>
      <c r="L146" s="1"/>
      <c r="M146" s="1" t="s">
        <v>25</v>
      </c>
      <c r="N146" s="1" t="s">
        <v>25</v>
      </c>
      <c r="O146" s="1"/>
      <c r="P146" s="1" t="s">
        <v>26</v>
      </c>
      <c r="Q146" s="1"/>
    </row>
    <row r="147" spans="1:17" hidden="1" x14ac:dyDescent="0.3">
      <c r="A147" s="3" t="s">
        <v>182</v>
      </c>
      <c r="B147" s="1" t="s">
        <v>40</v>
      </c>
      <c r="C147" s="1"/>
      <c r="D147" s="2">
        <v>3.1</v>
      </c>
      <c r="E147" s="1" t="s">
        <v>163</v>
      </c>
      <c r="F147" s="1"/>
      <c r="G147" s="1" t="s">
        <v>25</v>
      </c>
      <c r="H147" s="1" t="s">
        <v>25</v>
      </c>
      <c r="I147" s="1"/>
      <c r="J147" s="1"/>
      <c r="K147" s="1"/>
      <c r="L147" s="1"/>
      <c r="M147" s="1" t="s">
        <v>25</v>
      </c>
      <c r="N147" s="1" t="s">
        <v>25</v>
      </c>
      <c r="O147" s="1"/>
      <c r="P147" s="1" t="s">
        <v>26</v>
      </c>
      <c r="Q147" s="1"/>
    </row>
    <row r="148" spans="1:17" hidden="1" x14ac:dyDescent="0.3">
      <c r="A148" s="3" t="s">
        <v>183</v>
      </c>
      <c r="B148" s="1" t="s">
        <v>18</v>
      </c>
      <c r="C148" s="1" t="s">
        <v>19</v>
      </c>
      <c r="D148" s="2">
        <v>4</v>
      </c>
      <c r="E148" s="1" t="s">
        <v>163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 t="s">
        <v>164</v>
      </c>
      <c r="Q148" s="1"/>
    </row>
    <row r="149" spans="1:17" hidden="1" x14ac:dyDescent="0.3">
      <c r="A149" s="3" t="s">
        <v>184</v>
      </c>
      <c r="B149" s="1" t="s">
        <v>22</v>
      </c>
      <c r="C149" s="1" t="s">
        <v>19</v>
      </c>
      <c r="D149" s="2">
        <v>4</v>
      </c>
      <c r="E149" s="1" t="s">
        <v>163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 t="s">
        <v>166</v>
      </c>
      <c r="Q149" s="1"/>
    </row>
    <row r="150" spans="1:17" hidden="1" x14ac:dyDescent="0.3">
      <c r="A150" s="3" t="s">
        <v>185</v>
      </c>
      <c r="B150" s="1" t="s">
        <v>24</v>
      </c>
      <c r="C150" s="1" t="s">
        <v>19</v>
      </c>
      <c r="D150" s="2">
        <v>4</v>
      </c>
      <c r="E150" s="1" t="s">
        <v>163</v>
      </c>
      <c r="F150" s="1"/>
      <c r="G150" s="1" t="s">
        <v>25</v>
      </c>
      <c r="H150" s="1" t="s">
        <v>25</v>
      </c>
      <c r="I150" s="1"/>
      <c r="J150" s="1"/>
      <c r="K150" s="1"/>
      <c r="L150" s="1"/>
      <c r="M150" s="1" t="s">
        <v>25</v>
      </c>
      <c r="N150" s="1" t="s">
        <v>25</v>
      </c>
      <c r="O150" s="1"/>
      <c r="P150" s="1" t="s">
        <v>26</v>
      </c>
      <c r="Q150" s="1"/>
    </row>
    <row r="151" spans="1:17" hidden="1" x14ac:dyDescent="0.3">
      <c r="A151" s="3" t="s">
        <v>186</v>
      </c>
      <c r="B151" s="1" t="s">
        <v>28</v>
      </c>
      <c r="C151" s="1" t="s">
        <v>29</v>
      </c>
      <c r="D151" s="2">
        <v>4</v>
      </c>
      <c r="E151" s="1" t="s">
        <v>163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 t="s">
        <v>164</v>
      </c>
      <c r="Q151" s="1"/>
    </row>
    <row r="152" spans="1:17" hidden="1" x14ac:dyDescent="0.3">
      <c r="A152" s="3" t="s">
        <v>187</v>
      </c>
      <c r="B152" s="1" t="s">
        <v>31</v>
      </c>
      <c r="C152" s="1" t="s">
        <v>29</v>
      </c>
      <c r="D152" s="2">
        <v>4</v>
      </c>
      <c r="E152" s="1" t="s">
        <v>163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 t="s">
        <v>188</v>
      </c>
      <c r="Q152" s="1"/>
    </row>
    <row r="153" spans="1:17" hidden="1" x14ac:dyDescent="0.3">
      <c r="A153" s="3" t="s">
        <v>189</v>
      </c>
      <c r="B153" s="1" t="s">
        <v>33</v>
      </c>
      <c r="C153" s="1" t="s">
        <v>19</v>
      </c>
      <c r="D153" s="2">
        <v>4</v>
      </c>
      <c r="E153" s="1" t="s">
        <v>163</v>
      </c>
      <c r="F153" s="1"/>
      <c r="G153" s="1"/>
      <c r="H153" s="1"/>
      <c r="I153" s="1"/>
      <c r="J153" s="1"/>
      <c r="K153" s="1"/>
      <c r="L153" s="1"/>
      <c r="M153" s="1" t="s">
        <v>25</v>
      </c>
      <c r="N153" s="1" t="s">
        <v>25</v>
      </c>
      <c r="O153" s="1"/>
      <c r="P153" s="1" t="s">
        <v>166</v>
      </c>
      <c r="Q153" s="1"/>
    </row>
    <row r="154" spans="1:17" hidden="1" x14ac:dyDescent="0.3">
      <c r="A154" s="3" t="s">
        <v>190</v>
      </c>
      <c r="B154" s="1" t="s">
        <v>35</v>
      </c>
      <c r="C154" s="1" t="s">
        <v>29</v>
      </c>
      <c r="D154" s="2">
        <v>4</v>
      </c>
      <c r="E154" s="1" t="s">
        <v>163</v>
      </c>
      <c r="F154" s="1"/>
      <c r="G154" s="1"/>
      <c r="H154" s="1"/>
      <c r="I154" s="1"/>
      <c r="J154" s="1"/>
      <c r="K154" s="1"/>
      <c r="L154" s="1"/>
      <c r="M154" s="1" t="s">
        <v>25</v>
      </c>
      <c r="N154" s="1" t="s">
        <v>25</v>
      </c>
      <c r="O154" s="1"/>
      <c r="P154" s="1" t="s">
        <v>166</v>
      </c>
      <c r="Q154" s="1"/>
    </row>
    <row r="155" spans="1:17" hidden="1" x14ac:dyDescent="0.3">
      <c r="A155" s="3" t="s">
        <v>191</v>
      </c>
      <c r="B155" s="1" t="s">
        <v>37</v>
      </c>
      <c r="C155" s="1" t="s">
        <v>38</v>
      </c>
      <c r="D155" s="2">
        <v>4</v>
      </c>
      <c r="E155" s="1" t="s">
        <v>163</v>
      </c>
      <c r="F155" s="1"/>
      <c r="G155" s="1" t="s">
        <v>25</v>
      </c>
      <c r="H155" s="1" t="s">
        <v>25</v>
      </c>
      <c r="I155" s="1"/>
      <c r="J155" s="1"/>
      <c r="K155" s="1"/>
      <c r="L155" s="1"/>
      <c r="M155" s="1" t="s">
        <v>25</v>
      </c>
      <c r="N155" s="1" t="s">
        <v>25</v>
      </c>
      <c r="O155" s="1"/>
      <c r="P155" s="1" t="s">
        <v>26</v>
      </c>
      <c r="Q155" s="1"/>
    </row>
    <row r="156" spans="1:17" hidden="1" x14ac:dyDescent="0.3">
      <c r="A156" s="3" t="s">
        <v>192</v>
      </c>
      <c r="B156" s="1" t="s">
        <v>40</v>
      </c>
      <c r="C156" s="1"/>
      <c r="D156" s="2">
        <v>4</v>
      </c>
      <c r="E156" s="1" t="s">
        <v>163</v>
      </c>
      <c r="F156" s="1"/>
      <c r="G156" s="1" t="s">
        <v>25</v>
      </c>
      <c r="H156" s="1" t="s">
        <v>25</v>
      </c>
      <c r="I156" s="1"/>
      <c r="J156" s="1"/>
      <c r="K156" s="1"/>
      <c r="L156" s="1"/>
      <c r="M156" s="1" t="s">
        <v>25</v>
      </c>
      <c r="N156" s="1" t="s">
        <v>25</v>
      </c>
      <c r="O156" s="1"/>
      <c r="P156" s="1" t="s">
        <v>26</v>
      </c>
      <c r="Q156" s="1"/>
    </row>
    <row r="157" spans="1:17" hidden="1" x14ac:dyDescent="0.3">
      <c r="A157" s="3" t="s">
        <v>193</v>
      </c>
      <c r="B157" s="1" t="s">
        <v>18</v>
      </c>
      <c r="C157" s="1" t="s">
        <v>19</v>
      </c>
      <c r="D157" s="2">
        <v>5</v>
      </c>
      <c r="E157" s="1" t="s">
        <v>163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 t="s">
        <v>164</v>
      </c>
      <c r="Q157" s="1"/>
    </row>
    <row r="158" spans="1:17" hidden="1" x14ac:dyDescent="0.3">
      <c r="A158" s="3" t="s">
        <v>194</v>
      </c>
      <c r="B158" s="1" t="s">
        <v>22</v>
      </c>
      <c r="C158" s="1" t="s">
        <v>19</v>
      </c>
      <c r="D158" s="2">
        <v>5</v>
      </c>
      <c r="E158" s="1" t="s">
        <v>163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 t="s">
        <v>166</v>
      </c>
      <c r="Q158" s="1"/>
    </row>
    <row r="159" spans="1:17" hidden="1" x14ac:dyDescent="0.3">
      <c r="A159" s="3" t="s">
        <v>195</v>
      </c>
      <c r="B159" s="1" t="s">
        <v>24</v>
      </c>
      <c r="C159" s="1" t="s">
        <v>19</v>
      </c>
      <c r="D159" s="2">
        <v>5</v>
      </c>
      <c r="E159" s="1" t="s">
        <v>163</v>
      </c>
      <c r="F159" s="1"/>
      <c r="G159" s="1" t="s">
        <v>25</v>
      </c>
      <c r="H159" s="1" t="s">
        <v>25</v>
      </c>
      <c r="I159" s="1"/>
      <c r="J159" s="1"/>
      <c r="K159" s="1"/>
      <c r="L159" s="1"/>
      <c r="M159" s="1" t="s">
        <v>25</v>
      </c>
      <c r="N159" s="1" t="s">
        <v>25</v>
      </c>
      <c r="O159" s="1"/>
      <c r="P159" s="1" t="s">
        <v>26</v>
      </c>
      <c r="Q159" s="1"/>
    </row>
    <row r="160" spans="1:17" hidden="1" x14ac:dyDescent="0.3">
      <c r="A160" s="3" t="s">
        <v>196</v>
      </c>
      <c r="B160" s="1" t="s">
        <v>28</v>
      </c>
      <c r="C160" s="1" t="s">
        <v>29</v>
      </c>
      <c r="D160" s="2">
        <v>5</v>
      </c>
      <c r="E160" s="1" t="s">
        <v>163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 t="s">
        <v>164</v>
      </c>
      <c r="Q160" s="1"/>
    </row>
    <row r="161" spans="1:17" hidden="1" x14ac:dyDescent="0.3">
      <c r="A161" s="3" t="s">
        <v>197</v>
      </c>
      <c r="B161" s="1" t="s">
        <v>31</v>
      </c>
      <c r="C161" s="1" t="s">
        <v>29</v>
      </c>
      <c r="D161" s="2">
        <v>5</v>
      </c>
      <c r="E161" s="1" t="s">
        <v>163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 t="s">
        <v>166</v>
      </c>
      <c r="Q161" s="1"/>
    </row>
    <row r="162" spans="1:17" hidden="1" x14ac:dyDescent="0.3">
      <c r="A162" s="3" t="s">
        <v>198</v>
      </c>
      <c r="B162" s="1" t="s">
        <v>33</v>
      </c>
      <c r="C162" s="1" t="s">
        <v>19</v>
      </c>
      <c r="D162" s="2">
        <v>5</v>
      </c>
      <c r="E162" s="1" t="s">
        <v>163</v>
      </c>
      <c r="F162" s="1"/>
      <c r="G162" s="1"/>
      <c r="H162" s="1"/>
      <c r="I162" s="1"/>
      <c r="J162" s="1"/>
      <c r="K162" s="1"/>
      <c r="L162" s="1"/>
      <c r="M162" s="1" t="s">
        <v>25</v>
      </c>
      <c r="N162" s="1" t="s">
        <v>25</v>
      </c>
      <c r="O162" s="1"/>
      <c r="P162" s="1" t="s">
        <v>166</v>
      </c>
      <c r="Q162" s="1"/>
    </row>
    <row r="163" spans="1:17" hidden="1" x14ac:dyDescent="0.3">
      <c r="A163" s="3" t="s">
        <v>199</v>
      </c>
      <c r="B163" s="1" t="s">
        <v>35</v>
      </c>
      <c r="C163" s="1" t="s">
        <v>29</v>
      </c>
      <c r="D163" s="2">
        <v>5</v>
      </c>
      <c r="E163" s="1" t="s">
        <v>163</v>
      </c>
      <c r="F163" s="1"/>
      <c r="G163" s="1"/>
      <c r="H163" s="1"/>
      <c r="I163" s="1"/>
      <c r="J163" s="1"/>
      <c r="K163" s="1"/>
      <c r="L163" s="1"/>
      <c r="M163" s="1" t="s">
        <v>25</v>
      </c>
      <c r="N163" s="1" t="s">
        <v>25</v>
      </c>
      <c r="O163" s="1"/>
      <c r="P163" s="1" t="s">
        <v>166</v>
      </c>
      <c r="Q163" s="1"/>
    </row>
    <row r="164" spans="1:17" hidden="1" x14ac:dyDescent="0.3">
      <c r="A164" s="3" t="s">
        <v>200</v>
      </c>
      <c r="B164" s="1" t="s">
        <v>37</v>
      </c>
      <c r="C164" s="1" t="s">
        <v>38</v>
      </c>
      <c r="D164" s="2">
        <v>5</v>
      </c>
      <c r="E164" s="1" t="s">
        <v>163</v>
      </c>
      <c r="F164" s="1"/>
      <c r="G164" s="1" t="s">
        <v>25</v>
      </c>
      <c r="H164" s="1" t="s">
        <v>25</v>
      </c>
      <c r="I164" s="1"/>
      <c r="J164" s="1"/>
      <c r="K164" s="1"/>
      <c r="L164" s="1"/>
      <c r="M164" s="1" t="s">
        <v>25</v>
      </c>
      <c r="N164" s="1" t="s">
        <v>25</v>
      </c>
      <c r="O164" s="1"/>
      <c r="P164" s="1" t="s">
        <v>26</v>
      </c>
      <c r="Q164" s="1"/>
    </row>
    <row r="165" spans="1:17" hidden="1" x14ac:dyDescent="0.3">
      <c r="A165" s="3" t="s">
        <v>201</v>
      </c>
      <c r="B165" s="1" t="s">
        <v>40</v>
      </c>
      <c r="C165" s="1"/>
      <c r="D165" s="2">
        <v>5</v>
      </c>
      <c r="E165" s="1" t="s">
        <v>163</v>
      </c>
      <c r="F165" s="1"/>
      <c r="G165" s="1" t="s">
        <v>25</v>
      </c>
      <c r="H165" s="1" t="s">
        <v>25</v>
      </c>
      <c r="I165" s="1"/>
      <c r="J165" s="1"/>
      <c r="K165" s="1"/>
      <c r="L165" s="1"/>
      <c r="M165" s="1" t="s">
        <v>25</v>
      </c>
      <c r="N165" s="1" t="s">
        <v>25</v>
      </c>
      <c r="O165" s="1"/>
      <c r="P165" s="1" t="s">
        <v>26</v>
      </c>
      <c r="Q165" s="1"/>
    </row>
    <row r="166" spans="1:17" hidden="1" x14ac:dyDescent="0.3">
      <c r="A166" s="3" t="s">
        <v>202</v>
      </c>
      <c r="B166" s="1" t="s">
        <v>18</v>
      </c>
      <c r="C166" s="1" t="s">
        <v>19</v>
      </c>
      <c r="D166" s="2">
        <v>5.0999999999999996</v>
      </c>
      <c r="E166" s="1" t="s">
        <v>163</v>
      </c>
      <c r="F166" s="16" t="s">
        <v>203</v>
      </c>
      <c r="G166" s="16" t="s">
        <v>204</v>
      </c>
      <c r="H166" s="16"/>
      <c r="I166" s="16"/>
      <c r="J166" s="16" t="s">
        <v>205</v>
      </c>
      <c r="K166" s="16"/>
      <c r="L166" s="16"/>
      <c r="M166" s="16" t="s">
        <v>206</v>
      </c>
      <c r="N166" s="16"/>
      <c r="O166" s="16"/>
      <c r="P166" s="1" t="s">
        <v>164</v>
      </c>
      <c r="Q166" s="1"/>
    </row>
    <row r="167" spans="1:17" hidden="1" x14ac:dyDescent="0.3">
      <c r="A167" s="3" t="s">
        <v>207</v>
      </c>
      <c r="B167" s="1" t="s">
        <v>22</v>
      </c>
      <c r="C167" s="1" t="s">
        <v>19</v>
      </c>
      <c r="D167" s="2">
        <v>5.0999999999999996</v>
      </c>
      <c r="E167" s="1" t="s">
        <v>163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 t="s">
        <v>208</v>
      </c>
      <c r="Q167" s="1"/>
    </row>
    <row r="168" spans="1:17" hidden="1" x14ac:dyDescent="0.3">
      <c r="A168" s="3" t="s">
        <v>209</v>
      </c>
      <c r="B168" s="1" t="s">
        <v>24</v>
      </c>
      <c r="C168" s="1" t="s">
        <v>19</v>
      </c>
      <c r="D168" s="2">
        <v>5.0999999999999996</v>
      </c>
      <c r="E168" s="1" t="s">
        <v>163</v>
      </c>
      <c r="F168" s="1"/>
      <c r="G168" s="1" t="s">
        <v>25</v>
      </c>
      <c r="H168" s="1" t="s">
        <v>25</v>
      </c>
      <c r="I168" s="1"/>
      <c r="J168" s="1"/>
      <c r="K168" s="1"/>
      <c r="L168" s="1"/>
      <c r="M168" s="1" t="s">
        <v>25</v>
      </c>
      <c r="N168" s="1" t="s">
        <v>25</v>
      </c>
      <c r="O168" s="1"/>
      <c r="P168" s="1" t="s">
        <v>26</v>
      </c>
      <c r="Q168" s="1"/>
    </row>
    <row r="169" spans="1:17" hidden="1" x14ac:dyDescent="0.3">
      <c r="A169" s="3" t="s">
        <v>210</v>
      </c>
      <c r="B169" s="1" t="s">
        <v>28</v>
      </c>
      <c r="C169" s="1" t="s">
        <v>29</v>
      </c>
      <c r="D169" s="2">
        <v>5.0999999999999996</v>
      </c>
      <c r="E169" s="1" t="s">
        <v>163</v>
      </c>
      <c r="F169" s="16" t="s">
        <v>211</v>
      </c>
      <c r="G169" s="16" t="s">
        <v>212</v>
      </c>
      <c r="H169" s="16"/>
      <c r="I169" s="16"/>
      <c r="J169" s="16" t="s">
        <v>213</v>
      </c>
      <c r="K169" s="16"/>
      <c r="L169" s="16"/>
      <c r="M169" s="19" t="s">
        <v>214</v>
      </c>
      <c r="N169" s="19"/>
      <c r="O169" s="19"/>
      <c r="P169" s="1" t="s">
        <v>164</v>
      </c>
      <c r="Q169" s="1"/>
    </row>
    <row r="170" spans="1:17" hidden="1" x14ac:dyDescent="0.3">
      <c r="A170" s="3" t="s">
        <v>215</v>
      </c>
      <c r="B170" s="1" t="s">
        <v>31</v>
      </c>
      <c r="C170" s="1" t="s">
        <v>29</v>
      </c>
      <c r="D170" s="2">
        <v>5.0999999999999996</v>
      </c>
      <c r="E170" s="1" t="s">
        <v>163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 t="s">
        <v>166</v>
      </c>
      <c r="Q170" s="1"/>
    </row>
    <row r="171" spans="1:17" hidden="1" x14ac:dyDescent="0.3">
      <c r="A171" s="3" t="s">
        <v>216</v>
      </c>
      <c r="B171" s="1" t="s">
        <v>33</v>
      </c>
      <c r="C171" s="1" t="s">
        <v>19</v>
      </c>
      <c r="D171" s="2">
        <v>5.0999999999999996</v>
      </c>
      <c r="E171" s="1" t="s">
        <v>163</v>
      </c>
      <c r="F171" s="1"/>
      <c r="G171" s="1"/>
      <c r="H171" s="1"/>
      <c r="I171" s="1"/>
      <c r="J171" s="1"/>
      <c r="K171" s="1"/>
      <c r="L171" s="1"/>
      <c r="M171" s="1" t="s">
        <v>25</v>
      </c>
      <c r="N171" s="1" t="s">
        <v>25</v>
      </c>
      <c r="O171" s="1"/>
      <c r="P171" s="1" t="s">
        <v>166</v>
      </c>
      <c r="Q171" s="1"/>
    </row>
    <row r="172" spans="1:17" hidden="1" x14ac:dyDescent="0.3">
      <c r="A172" s="3" t="s">
        <v>217</v>
      </c>
      <c r="B172" s="1" t="s">
        <v>35</v>
      </c>
      <c r="C172" s="1" t="s">
        <v>29</v>
      </c>
      <c r="D172" s="2">
        <v>5.0999999999999996</v>
      </c>
      <c r="E172" s="1" t="s">
        <v>163</v>
      </c>
      <c r="F172" s="1"/>
      <c r="G172" s="1"/>
      <c r="H172" s="1"/>
      <c r="I172" s="1"/>
      <c r="J172" s="1"/>
      <c r="K172" s="1"/>
      <c r="L172" s="1"/>
      <c r="M172" s="1" t="s">
        <v>25</v>
      </c>
      <c r="N172" s="1" t="s">
        <v>25</v>
      </c>
      <c r="O172" s="1"/>
      <c r="P172" s="1" t="s">
        <v>188</v>
      </c>
      <c r="Q172" s="1"/>
    </row>
    <row r="173" spans="1:17" hidden="1" x14ac:dyDescent="0.3">
      <c r="A173" s="3" t="s">
        <v>218</v>
      </c>
      <c r="B173" s="1" t="s">
        <v>37</v>
      </c>
      <c r="C173" s="1" t="s">
        <v>38</v>
      </c>
      <c r="D173" s="2">
        <v>5.0999999999999996</v>
      </c>
      <c r="E173" s="1" t="s">
        <v>163</v>
      </c>
      <c r="F173" s="1"/>
      <c r="G173" s="1" t="s">
        <v>25</v>
      </c>
      <c r="H173" s="1" t="s">
        <v>25</v>
      </c>
      <c r="I173" s="1"/>
      <c r="J173" s="1"/>
      <c r="K173" s="1"/>
      <c r="L173" s="1"/>
      <c r="M173" s="1" t="s">
        <v>25</v>
      </c>
      <c r="N173" s="1" t="s">
        <v>25</v>
      </c>
      <c r="O173" s="1"/>
      <c r="P173" s="1" t="s">
        <v>26</v>
      </c>
      <c r="Q173" s="1"/>
    </row>
    <row r="174" spans="1:17" hidden="1" x14ac:dyDescent="0.3">
      <c r="A174" s="3" t="s">
        <v>219</v>
      </c>
      <c r="B174" s="1" t="s">
        <v>40</v>
      </c>
      <c r="C174" s="1"/>
      <c r="D174" s="2">
        <v>5.0999999999999996</v>
      </c>
      <c r="E174" s="1" t="s">
        <v>163</v>
      </c>
      <c r="F174" s="1"/>
      <c r="G174" s="1" t="s">
        <v>25</v>
      </c>
      <c r="H174" s="1" t="s">
        <v>25</v>
      </c>
      <c r="I174" s="1"/>
      <c r="J174" s="1"/>
      <c r="K174" s="1"/>
      <c r="L174" s="1"/>
      <c r="M174" s="1" t="s">
        <v>25</v>
      </c>
      <c r="N174" s="1" t="s">
        <v>25</v>
      </c>
      <c r="O174" s="1"/>
      <c r="P174" s="1" t="s">
        <v>164</v>
      </c>
      <c r="Q174" s="1"/>
    </row>
    <row r="175" spans="1:17" hidden="1" x14ac:dyDescent="0.3">
      <c r="A175" s="3" t="s">
        <v>220</v>
      </c>
      <c r="B175" s="1" t="s">
        <v>18</v>
      </c>
      <c r="C175" s="1" t="s">
        <v>19</v>
      </c>
      <c r="D175" s="2">
        <v>5.2</v>
      </c>
      <c r="E175" s="1" t="s">
        <v>163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 t="s">
        <v>164</v>
      </c>
      <c r="Q175" s="1"/>
    </row>
    <row r="176" spans="1:17" hidden="1" x14ac:dyDescent="0.3">
      <c r="A176" s="3" t="s">
        <v>221</v>
      </c>
      <c r="B176" s="1" t="s">
        <v>22</v>
      </c>
      <c r="C176" s="1" t="s">
        <v>19</v>
      </c>
      <c r="D176" s="2">
        <v>5.2</v>
      </c>
      <c r="E176" s="1" t="s">
        <v>163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 t="s">
        <v>166</v>
      </c>
      <c r="Q176" s="1"/>
    </row>
    <row r="177" spans="1:17" hidden="1" x14ac:dyDescent="0.3">
      <c r="A177" s="3" t="s">
        <v>222</v>
      </c>
      <c r="B177" s="1" t="s">
        <v>24</v>
      </c>
      <c r="C177" s="1" t="s">
        <v>19</v>
      </c>
      <c r="D177" s="2">
        <v>5.2</v>
      </c>
      <c r="E177" s="1" t="s">
        <v>163</v>
      </c>
      <c r="F177" s="1"/>
      <c r="G177" s="1" t="s">
        <v>25</v>
      </c>
      <c r="H177" s="1" t="s">
        <v>25</v>
      </c>
      <c r="I177" s="1"/>
      <c r="J177" s="1"/>
      <c r="K177" s="1"/>
      <c r="L177" s="1"/>
      <c r="M177" s="1" t="s">
        <v>25</v>
      </c>
      <c r="N177" s="1" t="s">
        <v>25</v>
      </c>
      <c r="O177" s="1"/>
      <c r="P177" s="1" t="s">
        <v>26</v>
      </c>
      <c r="Q177" s="1"/>
    </row>
    <row r="178" spans="1:17" hidden="1" x14ac:dyDescent="0.3">
      <c r="A178" s="3" t="s">
        <v>223</v>
      </c>
      <c r="B178" s="1" t="s">
        <v>28</v>
      </c>
      <c r="C178" s="1" t="s">
        <v>29</v>
      </c>
      <c r="D178" s="2">
        <v>5.2</v>
      </c>
      <c r="E178" s="1" t="s">
        <v>163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 t="s">
        <v>164</v>
      </c>
      <c r="Q178" s="1"/>
    </row>
    <row r="179" spans="1:17" hidden="1" x14ac:dyDescent="0.3">
      <c r="A179" s="3" t="s">
        <v>224</v>
      </c>
      <c r="B179" s="1" t="s">
        <v>31</v>
      </c>
      <c r="C179" s="1" t="s">
        <v>29</v>
      </c>
      <c r="D179" s="2">
        <v>5.2</v>
      </c>
      <c r="E179" s="1" t="s">
        <v>163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 t="s">
        <v>166</v>
      </c>
      <c r="Q179" s="1"/>
    </row>
    <row r="180" spans="1:17" hidden="1" x14ac:dyDescent="0.3">
      <c r="A180" s="3" t="s">
        <v>225</v>
      </c>
      <c r="B180" s="1" t="s">
        <v>33</v>
      </c>
      <c r="C180" s="1" t="s">
        <v>19</v>
      </c>
      <c r="D180" s="2">
        <v>5.2</v>
      </c>
      <c r="E180" s="1" t="s">
        <v>163</v>
      </c>
      <c r="F180" s="1"/>
      <c r="G180" s="1"/>
      <c r="H180" s="1"/>
      <c r="I180" s="1"/>
      <c r="J180" s="1"/>
      <c r="K180" s="1"/>
      <c r="L180" s="1"/>
      <c r="M180" s="1" t="s">
        <v>25</v>
      </c>
      <c r="N180" s="1" t="s">
        <v>25</v>
      </c>
      <c r="O180" s="1"/>
      <c r="P180" s="1" t="s">
        <v>166</v>
      </c>
      <c r="Q180" s="1"/>
    </row>
    <row r="181" spans="1:17" hidden="1" x14ac:dyDescent="0.3">
      <c r="A181" s="3" t="s">
        <v>226</v>
      </c>
      <c r="B181" s="1" t="s">
        <v>35</v>
      </c>
      <c r="C181" s="1" t="s">
        <v>29</v>
      </c>
      <c r="D181" s="2">
        <v>5.2</v>
      </c>
      <c r="E181" s="1" t="s">
        <v>163</v>
      </c>
      <c r="F181" s="1"/>
      <c r="G181" s="1"/>
      <c r="H181" s="1"/>
      <c r="I181" s="1"/>
      <c r="J181" s="1"/>
      <c r="K181" s="1"/>
      <c r="L181" s="1"/>
      <c r="M181" s="1" t="s">
        <v>25</v>
      </c>
      <c r="N181" s="1" t="s">
        <v>25</v>
      </c>
      <c r="O181" s="1"/>
      <c r="P181" s="1" t="s">
        <v>188</v>
      </c>
      <c r="Q181" s="1"/>
    </row>
    <row r="182" spans="1:17" hidden="1" x14ac:dyDescent="0.3">
      <c r="A182" s="3" t="s">
        <v>227</v>
      </c>
      <c r="B182" s="1" t="s">
        <v>37</v>
      </c>
      <c r="C182" s="1" t="s">
        <v>38</v>
      </c>
      <c r="D182" s="2">
        <v>5.2</v>
      </c>
      <c r="E182" s="1" t="s">
        <v>163</v>
      </c>
      <c r="F182" s="1"/>
      <c r="G182" s="1" t="s">
        <v>25</v>
      </c>
      <c r="H182" s="1" t="s">
        <v>25</v>
      </c>
      <c r="I182" s="1"/>
      <c r="J182" s="1"/>
      <c r="K182" s="1"/>
      <c r="L182" s="1"/>
      <c r="M182" s="1" t="s">
        <v>25</v>
      </c>
      <c r="N182" s="1" t="s">
        <v>25</v>
      </c>
      <c r="O182" s="1"/>
      <c r="P182" s="1" t="s">
        <v>26</v>
      </c>
      <c r="Q182" s="1"/>
    </row>
    <row r="183" spans="1:17" hidden="1" x14ac:dyDescent="0.3">
      <c r="A183" s="3" t="s">
        <v>228</v>
      </c>
      <c r="B183" s="1" t="s">
        <v>40</v>
      </c>
      <c r="C183" s="1"/>
      <c r="D183" s="2">
        <v>5.2</v>
      </c>
      <c r="E183" s="1" t="s">
        <v>163</v>
      </c>
      <c r="F183" s="1"/>
      <c r="G183" s="1" t="s">
        <v>25</v>
      </c>
      <c r="H183" s="1" t="s">
        <v>25</v>
      </c>
      <c r="I183" s="1"/>
      <c r="J183" s="1"/>
      <c r="K183" s="1"/>
      <c r="L183" s="1"/>
      <c r="M183" s="1" t="s">
        <v>25</v>
      </c>
      <c r="N183" s="1" t="s">
        <v>25</v>
      </c>
      <c r="O183" s="1"/>
      <c r="P183" s="1" t="s">
        <v>26</v>
      </c>
      <c r="Q183" s="1"/>
    </row>
    <row r="184" spans="1:17" hidden="1" x14ac:dyDescent="0.3">
      <c r="A184" s="3" t="s">
        <v>229</v>
      </c>
      <c r="B184" s="1" t="s">
        <v>18</v>
      </c>
      <c r="C184" s="1" t="s">
        <v>19</v>
      </c>
      <c r="D184" s="2">
        <v>5.3</v>
      </c>
      <c r="E184" s="1" t="s">
        <v>163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 t="s">
        <v>164</v>
      </c>
      <c r="Q184" s="1"/>
    </row>
    <row r="185" spans="1:17" hidden="1" x14ac:dyDescent="0.3">
      <c r="A185" s="3" t="s">
        <v>230</v>
      </c>
      <c r="B185" s="1" t="s">
        <v>22</v>
      </c>
      <c r="C185" s="1" t="s">
        <v>19</v>
      </c>
      <c r="D185" s="2">
        <v>5.3</v>
      </c>
      <c r="E185" s="1" t="s">
        <v>163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 t="s">
        <v>188</v>
      </c>
      <c r="Q185" s="1"/>
    </row>
    <row r="186" spans="1:17" hidden="1" x14ac:dyDescent="0.3">
      <c r="A186" s="3" t="s">
        <v>231</v>
      </c>
      <c r="B186" s="1" t="s">
        <v>24</v>
      </c>
      <c r="C186" s="1" t="s">
        <v>19</v>
      </c>
      <c r="D186" s="2">
        <v>5.3</v>
      </c>
      <c r="E186" s="1" t="s">
        <v>163</v>
      </c>
      <c r="F186" s="1"/>
      <c r="G186" s="1" t="s">
        <v>25</v>
      </c>
      <c r="H186" s="1" t="s">
        <v>25</v>
      </c>
      <c r="I186" s="1"/>
      <c r="J186" s="1"/>
      <c r="K186" s="1"/>
      <c r="L186" s="1"/>
      <c r="M186" s="1" t="s">
        <v>25</v>
      </c>
      <c r="N186" s="1" t="s">
        <v>25</v>
      </c>
      <c r="O186" s="1"/>
      <c r="P186" s="1" t="s">
        <v>26</v>
      </c>
      <c r="Q186" s="1"/>
    </row>
    <row r="187" spans="1:17" hidden="1" x14ac:dyDescent="0.3">
      <c r="A187" s="3" t="s">
        <v>232</v>
      </c>
      <c r="B187" s="1" t="s">
        <v>28</v>
      </c>
      <c r="C187" s="1" t="s">
        <v>29</v>
      </c>
      <c r="D187" s="2">
        <v>5.3</v>
      </c>
      <c r="E187" s="1" t="s">
        <v>163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 t="s">
        <v>164</v>
      </c>
      <c r="Q187" s="1"/>
    </row>
    <row r="188" spans="1:17" hidden="1" x14ac:dyDescent="0.3">
      <c r="A188" s="3" t="s">
        <v>233</v>
      </c>
      <c r="B188" s="1" t="s">
        <v>31</v>
      </c>
      <c r="C188" s="1" t="s">
        <v>29</v>
      </c>
      <c r="D188" s="2">
        <v>5.3</v>
      </c>
      <c r="E188" s="1" t="s">
        <v>163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 t="s">
        <v>188</v>
      </c>
      <c r="Q188" s="1"/>
    </row>
    <row r="189" spans="1:17" hidden="1" x14ac:dyDescent="0.3">
      <c r="A189" s="3" t="s">
        <v>234</v>
      </c>
      <c r="B189" s="1" t="s">
        <v>33</v>
      </c>
      <c r="C189" s="1" t="s">
        <v>19</v>
      </c>
      <c r="D189" s="2">
        <v>5.3</v>
      </c>
      <c r="E189" s="1" t="s">
        <v>163</v>
      </c>
      <c r="F189" s="1"/>
      <c r="G189" s="1"/>
      <c r="H189" s="1"/>
      <c r="I189" s="1"/>
      <c r="J189" s="1"/>
      <c r="K189" s="1"/>
      <c r="L189" s="1"/>
      <c r="M189" s="1" t="s">
        <v>25</v>
      </c>
      <c r="N189" s="1" t="s">
        <v>25</v>
      </c>
      <c r="O189" s="1"/>
      <c r="P189" s="1" t="s">
        <v>166</v>
      </c>
      <c r="Q189" s="1"/>
    </row>
    <row r="190" spans="1:17" hidden="1" x14ac:dyDescent="0.3">
      <c r="A190" s="3" t="s">
        <v>235</v>
      </c>
      <c r="B190" s="1" t="s">
        <v>35</v>
      </c>
      <c r="C190" s="1" t="s">
        <v>29</v>
      </c>
      <c r="D190" s="2">
        <v>5.3</v>
      </c>
      <c r="E190" s="1" t="s">
        <v>163</v>
      </c>
      <c r="F190" s="1"/>
      <c r="G190" s="1"/>
      <c r="H190" s="1"/>
      <c r="I190" s="1"/>
      <c r="J190" s="1"/>
      <c r="K190" s="1"/>
      <c r="L190" s="1"/>
      <c r="M190" s="1" t="s">
        <v>25</v>
      </c>
      <c r="N190" s="1" t="s">
        <v>25</v>
      </c>
      <c r="O190" s="1"/>
      <c r="P190" s="1" t="s">
        <v>166</v>
      </c>
      <c r="Q190" s="1"/>
    </row>
    <row r="191" spans="1:17" hidden="1" x14ac:dyDescent="0.3">
      <c r="A191" s="3" t="s">
        <v>236</v>
      </c>
      <c r="B191" s="1" t="s">
        <v>37</v>
      </c>
      <c r="C191" s="1" t="s">
        <v>38</v>
      </c>
      <c r="D191" s="2">
        <v>5.3</v>
      </c>
      <c r="E191" s="1" t="s">
        <v>163</v>
      </c>
      <c r="F191" s="1"/>
      <c r="G191" s="1" t="s">
        <v>25</v>
      </c>
      <c r="H191" s="1" t="s">
        <v>25</v>
      </c>
      <c r="I191" s="1"/>
      <c r="J191" s="1"/>
      <c r="K191" s="1"/>
      <c r="L191" s="1"/>
      <c r="M191" s="1" t="s">
        <v>25</v>
      </c>
      <c r="N191" s="1" t="s">
        <v>25</v>
      </c>
      <c r="O191" s="1"/>
      <c r="P191" s="1" t="s">
        <v>26</v>
      </c>
      <c r="Q191" s="1"/>
    </row>
    <row r="192" spans="1:17" hidden="1" x14ac:dyDescent="0.3">
      <c r="A192" s="3" t="s">
        <v>237</v>
      </c>
      <c r="B192" s="1" t="s">
        <v>40</v>
      </c>
      <c r="C192" s="1"/>
      <c r="D192" s="2">
        <v>5.3</v>
      </c>
      <c r="E192" s="1" t="s">
        <v>163</v>
      </c>
      <c r="F192" s="1"/>
      <c r="G192" s="1" t="s">
        <v>25</v>
      </c>
      <c r="H192" s="1" t="s">
        <v>25</v>
      </c>
      <c r="I192" s="1"/>
      <c r="J192" s="1"/>
      <c r="K192" s="1"/>
      <c r="L192" s="1"/>
      <c r="M192" s="1" t="s">
        <v>25</v>
      </c>
      <c r="N192" s="1" t="s">
        <v>25</v>
      </c>
      <c r="O192" s="1"/>
      <c r="P192" s="1" t="s">
        <v>26</v>
      </c>
      <c r="Q192" s="1"/>
    </row>
    <row r="193" spans="1:17" hidden="1" x14ac:dyDescent="0.3">
      <c r="A193" s="3" t="s">
        <v>238</v>
      </c>
      <c r="B193" s="1" t="s">
        <v>96</v>
      </c>
      <c r="C193" s="1"/>
      <c r="D193" s="2">
        <v>5.3</v>
      </c>
      <c r="E193" s="1" t="s">
        <v>163</v>
      </c>
      <c r="F193" s="1"/>
      <c r="G193" s="1" t="s">
        <v>25</v>
      </c>
      <c r="H193" s="1" t="s">
        <v>25</v>
      </c>
      <c r="I193" s="1"/>
      <c r="J193" s="1"/>
      <c r="K193" s="1"/>
      <c r="L193" s="1"/>
      <c r="M193" s="1" t="s">
        <v>25</v>
      </c>
      <c r="N193" s="1" t="s">
        <v>25</v>
      </c>
      <c r="O193" s="1"/>
      <c r="P193" s="1" t="s">
        <v>26</v>
      </c>
      <c r="Q193" s="1"/>
    </row>
    <row r="194" spans="1:17" hidden="1" x14ac:dyDescent="0.3">
      <c r="A194" s="3" t="s">
        <v>239</v>
      </c>
      <c r="B194" s="1" t="s">
        <v>18</v>
      </c>
      <c r="C194" s="1" t="s">
        <v>19</v>
      </c>
      <c r="D194" s="2">
        <v>3</v>
      </c>
      <c r="E194" s="1" t="s">
        <v>240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 t="s">
        <v>164</v>
      </c>
      <c r="Q194" s="1"/>
    </row>
    <row r="195" spans="1:17" hidden="1" x14ac:dyDescent="0.3">
      <c r="A195" s="3" t="s">
        <v>241</v>
      </c>
      <c r="B195" s="1" t="s">
        <v>22</v>
      </c>
      <c r="C195" s="1" t="s">
        <v>19</v>
      </c>
      <c r="D195" s="2">
        <v>3</v>
      </c>
      <c r="E195" s="1" t="s">
        <v>240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 t="s">
        <v>164</v>
      </c>
      <c r="Q195" s="1"/>
    </row>
    <row r="196" spans="1:17" hidden="1" x14ac:dyDescent="0.3">
      <c r="A196" s="3" t="s">
        <v>242</v>
      </c>
      <c r="B196" s="1" t="s">
        <v>24</v>
      </c>
      <c r="C196" s="1" t="s">
        <v>19</v>
      </c>
      <c r="D196" s="2">
        <v>3</v>
      </c>
      <c r="E196" s="1" t="s">
        <v>240</v>
      </c>
      <c r="F196" s="1"/>
      <c r="G196" s="1" t="s">
        <v>25</v>
      </c>
      <c r="H196" s="1" t="s">
        <v>25</v>
      </c>
      <c r="I196" s="1"/>
      <c r="J196" s="1"/>
      <c r="K196" s="1"/>
      <c r="L196" s="1"/>
      <c r="M196" s="1" t="s">
        <v>25</v>
      </c>
      <c r="N196" s="1" t="s">
        <v>25</v>
      </c>
      <c r="O196" s="1"/>
      <c r="P196" s="1" t="s">
        <v>26</v>
      </c>
      <c r="Q196" s="1"/>
    </row>
    <row r="197" spans="1:17" hidden="1" x14ac:dyDescent="0.3">
      <c r="A197" s="3" t="s">
        <v>243</v>
      </c>
      <c r="B197" s="1" t="s">
        <v>28</v>
      </c>
      <c r="C197" s="1" t="s">
        <v>29</v>
      </c>
      <c r="D197" s="2">
        <v>3</v>
      </c>
      <c r="E197" s="1" t="s">
        <v>240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 t="s">
        <v>164</v>
      </c>
      <c r="Q197" s="1"/>
    </row>
    <row r="198" spans="1:17" hidden="1" x14ac:dyDescent="0.3">
      <c r="A198" s="3" t="s">
        <v>244</v>
      </c>
      <c r="B198" s="1" t="s">
        <v>31</v>
      </c>
      <c r="C198" s="1" t="s">
        <v>29</v>
      </c>
      <c r="D198" s="2">
        <v>3</v>
      </c>
      <c r="E198" s="1" t="s">
        <v>240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 t="s">
        <v>164</v>
      </c>
      <c r="Q198" s="1"/>
    </row>
    <row r="199" spans="1:17" hidden="1" x14ac:dyDescent="0.3">
      <c r="A199" s="3" t="s">
        <v>245</v>
      </c>
      <c r="B199" s="1" t="s">
        <v>33</v>
      </c>
      <c r="C199" s="1" t="s">
        <v>19</v>
      </c>
      <c r="D199" s="2">
        <v>3</v>
      </c>
      <c r="E199" s="1" t="s">
        <v>240</v>
      </c>
      <c r="F199" s="1"/>
      <c r="G199" s="1"/>
      <c r="H199" s="1"/>
      <c r="I199" s="1"/>
      <c r="J199" s="1"/>
      <c r="K199" s="1"/>
      <c r="L199" s="1"/>
      <c r="M199" s="1" t="s">
        <v>25</v>
      </c>
      <c r="N199" s="1" t="s">
        <v>25</v>
      </c>
      <c r="O199" s="1"/>
      <c r="P199" s="1" t="s">
        <v>164</v>
      </c>
      <c r="Q199" s="1"/>
    </row>
    <row r="200" spans="1:17" hidden="1" x14ac:dyDescent="0.3">
      <c r="A200" s="3" t="s">
        <v>246</v>
      </c>
      <c r="B200" s="1" t="s">
        <v>35</v>
      </c>
      <c r="C200" s="1" t="s">
        <v>29</v>
      </c>
      <c r="D200" s="2">
        <v>3</v>
      </c>
      <c r="E200" s="1" t="s">
        <v>240</v>
      </c>
      <c r="F200" s="1"/>
      <c r="G200" s="1"/>
      <c r="H200" s="1"/>
      <c r="I200" s="1"/>
      <c r="J200" s="1"/>
      <c r="K200" s="1"/>
      <c r="L200" s="1"/>
      <c r="M200" s="1" t="s">
        <v>25</v>
      </c>
      <c r="N200" s="1" t="s">
        <v>25</v>
      </c>
      <c r="O200" s="1"/>
      <c r="P200" s="1" t="s">
        <v>164</v>
      </c>
      <c r="Q200" s="1"/>
    </row>
    <row r="201" spans="1:17" hidden="1" x14ac:dyDescent="0.3">
      <c r="A201" s="3" t="s">
        <v>247</v>
      </c>
      <c r="B201" s="1" t="s">
        <v>37</v>
      </c>
      <c r="C201" s="1" t="s">
        <v>38</v>
      </c>
      <c r="D201" s="2">
        <v>3</v>
      </c>
      <c r="E201" s="1" t="s">
        <v>240</v>
      </c>
      <c r="F201" s="1"/>
      <c r="G201" s="1" t="s">
        <v>25</v>
      </c>
      <c r="H201" s="1" t="s">
        <v>25</v>
      </c>
      <c r="I201" s="1"/>
      <c r="J201" s="1"/>
      <c r="K201" s="1"/>
      <c r="L201" s="1"/>
      <c r="M201" s="1" t="s">
        <v>25</v>
      </c>
      <c r="N201" s="1" t="s">
        <v>25</v>
      </c>
      <c r="O201" s="1"/>
      <c r="P201" s="1" t="s">
        <v>26</v>
      </c>
      <c r="Q201" s="1"/>
    </row>
    <row r="202" spans="1:17" hidden="1" x14ac:dyDescent="0.3">
      <c r="A202" s="3" t="s">
        <v>248</v>
      </c>
      <c r="B202" s="1" t="s">
        <v>40</v>
      </c>
      <c r="C202" s="1"/>
      <c r="D202" s="2">
        <v>3</v>
      </c>
      <c r="E202" s="1" t="s">
        <v>240</v>
      </c>
      <c r="F202" s="1"/>
      <c r="G202" s="1" t="s">
        <v>25</v>
      </c>
      <c r="H202" s="1" t="s">
        <v>25</v>
      </c>
      <c r="I202" s="1"/>
      <c r="J202" s="1"/>
      <c r="K202" s="1"/>
      <c r="L202" s="1"/>
      <c r="M202" s="1" t="s">
        <v>25</v>
      </c>
      <c r="N202" s="1" t="s">
        <v>25</v>
      </c>
      <c r="O202" s="1"/>
      <c r="P202" s="1" t="s">
        <v>26</v>
      </c>
      <c r="Q202" s="1"/>
    </row>
    <row r="203" spans="1:17" hidden="1" x14ac:dyDescent="0.3">
      <c r="A203" s="3" t="s">
        <v>249</v>
      </c>
      <c r="B203" s="1" t="s">
        <v>18</v>
      </c>
      <c r="C203" s="1" t="s">
        <v>19</v>
      </c>
      <c r="D203" s="2">
        <v>3.1</v>
      </c>
      <c r="E203" s="1" t="s">
        <v>240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 t="s">
        <v>164</v>
      </c>
      <c r="Q203" s="1"/>
    </row>
    <row r="204" spans="1:17" hidden="1" x14ac:dyDescent="0.3">
      <c r="A204" s="3" t="s">
        <v>250</v>
      </c>
      <c r="B204" s="1" t="s">
        <v>22</v>
      </c>
      <c r="C204" s="1" t="s">
        <v>19</v>
      </c>
      <c r="D204" s="2">
        <v>3.1</v>
      </c>
      <c r="E204" s="1" t="s">
        <v>240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 t="s">
        <v>164</v>
      </c>
      <c r="Q204" s="1"/>
    </row>
    <row r="205" spans="1:17" hidden="1" x14ac:dyDescent="0.3">
      <c r="A205" s="3" t="s">
        <v>251</v>
      </c>
      <c r="B205" s="1" t="s">
        <v>24</v>
      </c>
      <c r="C205" s="1" t="s">
        <v>19</v>
      </c>
      <c r="D205" s="2">
        <v>3.1</v>
      </c>
      <c r="E205" s="1" t="s">
        <v>240</v>
      </c>
      <c r="F205" s="1"/>
      <c r="G205" s="1" t="s">
        <v>25</v>
      </c>
      <c r="H205" s="1" t="s">
        <v>25</v>
      </c>
      <c r="I205" s="1"/>
      <c r="J205" s="1"/>
      <c r="K205" s="1"/>
      <c r="L205" s="1"/>
      <c r="M205" s="1" t="s">
        <v>25</v>
      </c>
      <c r="N205" s="1" t="s">
        <v>25</v>
      </c>
      <c r="O205" s="1"/>
      <c r="P205" s="1" t="s">
        <v>26</v>
      </c>
      <c r="Q205" s="1"/>
    </row>
    <row r="206" spans="1:17" hidden="1" x14ac:dyDescent="0.3">
      <c r="A206" s="3" t="s">
        <v>252</v>
      </c>
      <c r="B206" s="1" t="s">
        <v>28</v>
      </c>
      <c r="C206" s="1" t="s">
        <v>29</v>
      </c>
      <c r="D206" s="2">
        <v>3.1</v>
      </c>
      <c r="E206" s="1" t="s">
        <v>240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 t="s">
        <v>164</v>
      </c>
      <c r="Q206" s="1"/>
    </row>
    <row r="207" spans="1:17" hidden="1" x14ac:dyDescent="0.3">
      <c r="A207" s="3" t="s">
        <v>253</v>
      </c>
      <c r="B207" s="1" t="s">
        <v>31</v>
      </c>
      <c r="C207" s="1" t="s">
        <v>29</v>
      </c>
      <c r="D207" s="2">
        <v>3.1</v>
      </c>
      <c r="E207" s="1" t="s">
        <v>240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 t="s">
        <v>164</v>
      </c>
      <c r="Q207" s="1"/>
    </row>
    <row r="208" spans="1:17" hidden="1" x14ac:dyDescent="0.3">
      <c r="A208" s="3" t="s">
        <v>254</v>
      </c>
      <c r="B208" s="1" t="s">
        <v>33</v>
      </c>
      <c r="C208" s="1" t="s">
        <v>19</v>
      </c>
      <c r="D208" s="2">
        <v>3.1</v>
      </c>
      <c r="E208" s="1" t="s">
        <v>240</v>
      </c>
      <c r="F208" s="1"/>
      <c r="G208" s="1"/>
      <c r="H208" s="1"/>
      <c r="I208" s="1"/>
      <c r="J208" s="1"/>
      <c r="K208" s="1"/>
      <c r="L208" s="1"/>
      <c r="M208" s="1" t="s">
        <v>25</v>
      </c>
      <c r="N208" s="1" t="s">
        <v>25</v>
      </c>
      <c r="O208" s="1"/>
      <c r="P208" s="1" t="s">
        <v>164</v>
      </c>
      <c r="Q208" s="1"/>
    </row>
    <row r="209" spans="1:17" hidden="1" x14ac:dyDescent="0.3">
      <c r="A209" s="3" t="s">
        <v>255</v>
      </c>
      <c r="B209" s="1" t="s">
        <v>35</v>
      </c>
      <c r="C209" s="1" t="s">
        <v>29</v>
      </c>
      <c r="D209" s="2">
        <v>3.1</v>
      </c>
      <c r="E209" s="1" t="s">
        <v>240</v>
      </c>
      <c r="F209" s="1"/>
      <c r="G209" s="1"/>
      <c r="H209" s="1"/>
      <c r="I209" s="1"/>
      <c r="J209" s="1"/>
      <c r="K209" s="1"/>
      <c r="L209" s="1"/>
      <c r="M209" s="1" t="s">
        <v>25</v>
      </c>
      <c r="N209" s="1" t="s">
        <v>25</v>
      </c>
      <c r="O209" s="1"/>
      <c r="P209" s="1" t="s">
        <v>164</v>
      </c>
      <c r="Q209" s="1"/>
    </row>
    <row r="210" spans="1:17" hidden="1" x14ac:dyDescent="0.3">
      <c r="A210" s="3" t="s">
        <v>256</v>
      </c>
      <c r="B210" s="1" t="s">
        <v>37</v>
      </c>
      <c r="C210" s="1" t="s">
        <v>38</v>
      </c>
      <c r="D210" s="2">
        <v>3.1</v>
      </c>
      <c r="E210" s="1" t="s">
        <v>240</v>
      </c>
      <c r="F210" s="1"/>
      <c r="G210" s="1" t="s">
        <v>25</v>
      </c>
      <c r="H210" s="1" t="s">
        <v>25</v>
      </c>
      <c r="I210" s="1"/>
      <c r="J210" s="1"/>
      <c r="K210" s="1"/>
      <c r="L210" s="1"/>
      <c r="M210" s="1" t="s">
        <v>25</v>
      </c>
      <c r="N210" s="1" t="s">
        <v>25</v>
      </c>
      <c r="O210" s="1"/>
      <c r="P210" s="1" t="s">
        <v>26</v>
      </c>
      <c r="Q210" s="1"/>
    </row>
    <row r="211" spans="1:17" hidden="1" x14ac:dyDescent="0.3">
      <c r="A211" s="3" t="s">
        <v>257</v>
      </c>
      <c r="B211" s="1" t="s">
        <v>40</v>
      </c>
      <c r="C211" s="1"/>
      <c r="D211" s="2">
        <v>3.1</v>
      </c>
      <c r="E211" s="1" t="s">
        <v>240</v>
      </c>
      <c r="F211" s="1"/>
      <c r="G211" s="1" t="s">
        <v>25</v>
      </c>
      <c r="H211" s="1" t="s">
        <v>25</v>
      </c>
      <c r="I211" s="1"/>
      <c r="J211" s="1"/>
      <c r="K211" s="1"/>
      <c r="L211" s="1"/>
      <c r="M211" s="1" t="s">
        <v>25</v>
      </c>
      <c r="N211" s="1" t="s">
        <v>25</v>
      </c>
      <c r="O211" s="1"/>
      <c r="P211" s="1" t="s">
        <v>26</v>
      </c>
      <c r="Q211" s="1"/>
    </row>
    <row r="212" spans="1:17" hidden="1" x14ac:dyDescent="0.3">
      <c r="A212" s="3" t="s">
        <v>258</v>
      </c>
      <c r="B212" s="1" t="s">
        <v>18</v>
      </c>
      <c r="C212" s="1" t="s">
        <v>19</v>
      </c>
      <c r="D212" s="2">
        <v>4</v>
      </c>
      <c r="E212" s="1" t="s">
        <v>240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 t="s">
        <v>164</v>
      </c>
      <c r="Q212" s="1"/>
    </row>
    <row r="213" spans="1:17" hidden="1" x14ac:dyDescent="0.3">
      <c r="A213" s="3" t="s">
        <v>259</v>
      </c>
      <c r="B213" s="1" t="s">
        <v>22</v>
      </c>
      <c r="C213" s="1" t="s">
        <v>19</v>
      </c>
      <c r="D213" s="2">
        <v>4</v>
      </c>
      <c r="E213" s="1" t="s">
        <v>240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 t="s">
        <v>164</v>
      </c>
      <c r="Q213" s="1"/>
    </row>
    <row r="214" spans="1:17" hidden="1" x14ac:dyDescent="0.3">
      <c r="A214" s="3" t="s">
        <v>260</v>
      </c>
      <c r="B214" s="1" t="s">
        <v>24</v>
      </c>
      <c r="C214" s="1" t="s">
        <v>19</v>
      </c>
      <c r="D214" s="2">
        <v>4</v>
      </c>
      <c r="E214" s="1" t="s">
        <v>240</v>
      </c>
      <c r="F214" s="1"/>
      <c r="G214" s="1" t="s">
        <v>25</v>
      </c>
      <c r="H214" s="1" t="s">
        <v>25</v>
      </c>
      <c r="I214" s="1"/>
      <c r="J214" s="1"/>
      <c r="K214" s="1"/>
      <c r="L214" s="1"/>
      <c r="M214" s="1" t="s">
        <v>25</v>
      </c>
      <c r="N214" s="1" t="s">
        <v>25</v>
      </c>
      <c r="O214" s="1"/>
      <c r="P214" s="1" t="s">
        <v>26</v>
      </c>
      <c r="Q214" s="1"/>
    </row>
    <row r="215" spans="1:17" hidden="1" x14ac:dyDescent="0.3">
      <c r="A215" s="3" t="s">
        <v>261</v>
      </c>
      <c r="B215" s="1" t="s">
        <v>28</v>
      </c>
      <c r="C215" s="1" t="s">
        <v>29</v>
      </c>
      <c r="D215" s="2">
        <v>4</v>
      </c>
      <c r="E215" s="1" t="s">
        <v>240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 t="s">
        <v>164</v>
      </c>
      <c r="Q215" s="1"/>
    </row>
    <row r="216" spans="1:17" hidden="1" x14ac:dyDescent="0.3">
      <c r="A216" s="3" t="s">
        <v>262</v>
      </c>
      <c r="B216" s="1" t="s">
        <v>31</v>
      </c>
      <c r="C216" s="1" t="s">
        <v>29</v>
      </c>
      <c r="D216" s="2">
        <v>4</v>
      </c>
      <c r="E216" s="1" t="s">
        <v>240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 t="s">
        <v>164</v>
      </c>
      <c r="Q216" s="1"/>
    </row>
    <row r="217" spans="1:17" hidden="1" x14ac:dyDescent="0.3">
      <c r="A217" s="3" t="s">
        <v>263</v>
      </c>
      <c r="B217" s="1" t="s">
        <v>33</v>
      </c>
      <c r="C217" s="1" t="s">
        <v>19</v>
      </c>
      <c r="D217" s="2">
        <v>4</v>
      </c>
      <c r="E217" s="1" t="s">
        <v>240</v>
      </c>
      <c r="F217" s="1"/>
      <c r="G217" s="1"/>
      <c r="H217" s="1"/>
      <c r="I217" s="1"/>
      <c r="J217" s="1"/>
      <c r="K217" s="1"/>
      <c r="L217" s="1"/>
      <c r="M217" s="1" t="s">
        <v>25</v>
      </c>
      <c r="N217" s="1" t="s">
        <v>25</v>
      </c>
      <c r="O217" s="1"/>
      <c r="P217" s="1" t="s">
        <v>164</v>
      </c>
      <c r="Q217" s="1"/>
    </row>
    <row r="218" spans="1:17" hidden="1" x14ac:dyDescent="0.3">
      <c r="A218" s="3" t="s">
        <v>264</v>
      </c>
      <c r="B218" s="1" t="s">
        <v>35</v>
      </c>
      <c r="C218" s="1" t="s">
        <v>29</v>
      </c>
      <c r="D218" s="2">
        <v>4</v>
      </c>
      <c r="E218" s="1" t="s">
        <v>240</v>
      </c>
      <c r="F218" s="1"/>
      <c r="G218" s="1"/>
      <c r="H218" s="1"/>
      <c r="I218" s="1"/>
      <c r="J218" s="1"/>
      <c r="K218" s="1"/>
      <c r="L218" s="1"/>
      <c r="M218" s="1" t="s">
        <v>25</v>
      </c>
      <c r="N218" s="1" t="s">
        <v>25</v>
      </c>
      <c r="O218" s="1"/>
      <c r="P218" s="1" t="s">
        <v>164</v>
      </c>
      <c r="Q218" s="1"/>
    </row>
    <row r="219" spans="1:17" hidden="1" x14ac:dyDescent="0.3">
      <c r="A219" s="3" t="s">
        <v>265</v>
      </c>
      <c r="B219" s="1" t="s">
        <v>37</v>
      </c>
      <c r="C219" s="1" t="s">
        <v>38</v>
      </c>
      <c r="D219" s="2">
        <v>4</v>
      </c>
      <c r="E219" s="1" t="s">
        <v>240</v>
      </c>
      <c r="F219" s="1"/>
      <c r="G219" s="1" t="s">
        <v>25</v>
      </c>
      <c r="H219" s="1" t="s">
        <v>25</v>
      </c>
      <c r="I219" s="1"/>
      <c r="J219" s="1"/>
      <c r="K219" s="1"/>
      <c r="L219" s="1"/>
      <c r="M219" s="1" t="s">
        <v>25</v>
      </c>
      <c r="N219" s="1" t="s">
        <v>25</v>
      </c>
      <c r="O219" s="1"/>
      <c r="P219" s="1" t="s">
        <v>26</v>
      </c>
      <c r="Q219" s="1"/>
    </row>
    <row r="220" spans="1:17" hidden="1" x14ac:dyDescent="0.3">
      <c r="A220" s="3" t="s">
        <v>266</v>
      </c>
      <c r="B220" s="1" t="s">
        <v>40</v>
      </c>
      <c r="C220" s="1"/>
      <c r="D220" s="2">
        <v>4</v>
      </c>
      <c r="E220" s="1" t="s">
        <v>240</v>
      </c>
      <c r="F220" s="1"/>
      <c r="G220" s="1" t="s">
        <v>25</v>
      </c>
      <c r="H220" s="1" t="s">
        <v>25</v>
      </c>
      <c r="I220" s="1"/>
      <c r="J220" s="1"/>
      <c r="K220" s="1"/>
      <c r="L220" s="1"/>
      <c r="M220" s="1" t="s">
        <v>25</v>
      </c>
      <c r="N220" s="1" t="s">
        <v>25</v>
      </c>
      <c r="O220" s="1"/>
      <c r="P220" s="1" t="s">
        <v>26</v>
      </c>
      <c r="Q220" s="1"/>
    </row>
    <row r="221" spans="1:17" hidden="1" x14ac:dyDescent="0.3">
      <c r="A221" s="3" t="s">
        <v>267</v>
      </c>
      <c r="B221" s="1" t="s">
        <v>18</v>
      </c>
      <c r="C221" s="1" t="s">
        <v>19</v>
      </c>
      <c r="D221" s="2">
        <v>5</v>
      </c>
      <c r="E221" s="1" t="s">
        <v>240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 t="s">
        <v>164</v>
      </c>
      <c r="Q221" s="1"/>
    </row>
    <row r="222" spans="1:17" hidden="1" x14ac:dyDescent="0.3">
      <c r="A222" s="3" t="s">
        <v>268</v>
      </c>
      <c r="B222" s="1" t="s">
        <v>22</v>
      </c>
      <c r="C222" s="1" t="s">
        <v>19</v>
      </c>
      <c r="D222" s="2">
        <v>5</v>
      </c>
      <c r="E222" s="1" t="s">
        <v>240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 t="s">
        <v>164</v>
      </c>
      <c r="Q222" s="1"/>
    </row>
    <row r="223" spans="1:17" hidden="1" x14ac:dyDescent="0.3">
      <c r="A223" s="3" t="s">
        <v>269</v>
      </c>
      <c r="B223" s="1" t="s">
        <v>24</v>
      </c>
      <c r="C223" s="1" t="s">
        <v>19</v>
      </c>
      <c r="D223" s="2">
        <v>5</v>
      </c>
      <c r="E223" s="1" t="s">
        <v>240</v>
      </c>
      <c r="F223" s="1"/>
      <c r="G223" s="1" t="s">
        <v>25</v>
      </c>
      <c r="H223" s="1" t="s">
        <v>25</v>
      </c>
      <c r="I223" s="1"/>
      <c r="J223" s="1"/>
      <c r="K223" s="1"/>
      <c r="L223" s="1"/>
      <c r="M223" s="1" t="s">
        <v>25</v>
      </c>
      <c r="N223" s="1" t="s">
        <v>25</v>
      </c>
      <c r="O223" s="1"/>
      <c r="P223" s="1" t="s">
        <v>26</v>
      </c>
      <c r="Q223" s="1"/>
    </row>
    <row r="224" spans="1:17" hidden="1" x14ac:dyDescent="0.3">
      <c r="A224" s="3" t="s">
        <v>270</v>
      </c>
      <c r="B224" s="1" t="s">
        <v>28</v>
      </c>
      <c r="C224" s="1" t="s">
        <v>29</v>
      </c>
      <c r="D224" s="2">
        <v>5</v>
      </c>
      <c r="E224" s="1" t="s">
        <v>240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 t="s">
        <v>164</v>
      </c>
      <c r="Q224" s="1"/>
    </row>
    <row r="225" spans="1:17" hidden="1" x14ac:dyDescent="0.3">
      <c r="A225" s="3" t="s">
        <v>271</v>
      </c>
      <c r="B225" s="1" t="s">
        <v>31</v>
      </c>
      <c r="C225" s="1" t="s">
        <v>29</v>
      </c>
      <c r="D225" s="2">
        <v>5</v>
      </c>
      <c r="E225" s="1" t="s">
        <v>240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 t="s">
        <v>164</v>
      </c>
      <c r="Q225" s="1"/>
    </row>
    <row r="226" spans="1:17" hidden="1" x14ac:dyDescent="0.3">
      <c r="A226" s="3" t="s">
        <v>272</v>
      </c>
      <c r="B226" s="1" t="s">
        <v>33</v>
      </c>
      <c r="C226" s="1" t="s">
        <v>19</v>
      </c>
      <c r="D226" s="2">
        <v>5</v>
      </c>
      <c r="E226" s="1" t="s">
        <v>240</v>
      </c>
      <c r="F226" s="1"/>
      <c r="G226" s="1"/>
      <c r="H226" s="1"/>
      <c r="I226" s="1"/>
      <c r="J226" s="1"/>
      <c r="K226" s="1"/>
      <c r="L226" s="1"/>
      <c r="M226" s="1" t="s">
        <v>25</v>
      </c>
      <c r="N226" s="1" t="s">
        <v>25</v>
      </c>
      <c r="O226" s="1"/>
      <c r="P226" s="1" t="s">
        <v>164</v>
      </c>
      <c r="Q226" s="1"/>
    </row>
    <row r="227" spans="1:17" hidden="1" x14ac:dyDescent="0.3">
      <c r="A227" s="3" t="s">
        <v>273</v>
      </c>
      <c r="B227" s="1" t="s">
        <v>35</v>
      </c>
      <c r="C227" s="1" t="s">
        <v>29</v>
      </c>
      <c r="D227" s="2">
        <v>5</v>
      </c>
      <c r="E227" s="1" t="s">
        <v>240</v>
      </c>
      <c r="F227" s="1"/>
      <c r="G227" s="1"/>
      <c r="H227" s="1"/>
      <c r="I227" s="1"/>
      <c r="J227" s="1"/>
      <c r="K227" s="1"/>
      <c r="L227" s="1"/>
      <c r="M227" s="1" t="s">
        <v>25</v>
      </c>
      <c r="N227" s="1" t="s">
        <v>25</v>
      </c>
      <c r="O227" s="1"/>
      <c r="P227" s="1" t="s">
        <v>164</v>
      </c>
      <c r="Q227" s="1"/>
    </row>
    <row r="228" spans="1:17" hidden="1" x14ac:dyDescent="0.3">
      <c r="A228" s="3" t="s">
        <v>274</v>
      </c>
      <c r="B228" s="1" t="s">
        <v>37</v>
      </c>
      <c r="C228" s="1" t="s">
        <v>38</v>
      </c>
      <c r="D228" s="2">
        <v>5</v>
      </c>
      <c r="E228" s="1" t="s">
        <v>240</v>
      </c>
      <c r="F228" s="1"/>
      <c r="G228" s="1" t="s">
        <v>25</v>
      </c>
      <c r="H228" s="1" t="s">
        <v>25</v>
      </c>
      <c r="I228" s="1"/>
      <c r="J228" s="1"/>
      <c r="K228" s="1"/>
      <c r="L228" s="1"/>
      <c r="M228" s="1" t="s">
        <v>25</v>
      </c>
      <c r="N228" s="1" t="s">
        <v>25</v>
      </c>
      <c r="O228" s="1"/>
      <c r="P228" s="1" t="s">
        <v>26</v>
      </c>
      <c r="Q228" s="1"/>
    </row>
    <row r="229" spans="1:17" hidden="1" x14ac:dyDescent="0.3">
      <c r="A229" s="3" t="s">
        <v>275</v>
      </c>
      <c r="B229" s="1" t="s">
        <v>40</v>
      </c>
      <c r="C229" s="1"/>
      <c r="D229" s="2">
        <v>5</v>
      </c>
      <c r="E229" s="1" t="s">
        <v>240</v>
      </c>
      <c r="F229" s="1"/>
      <c r="G229" s="1" t="s">
        <v>25</v>
      </c>
      <c r="H229" s="1" t="s">
        <v>25</v>
      </c>
      <c r="I229" s="1"/>
      <c r="J229" s="1"/>
      <c r="K229" s="1"/>
      <c r="L229" s="1"/>
      <c r="M229" s="1" t="s">
        <v>25</v>
      </c>
      <c r="N229" s="1" t="s">
        <v>25</v>
      </c>
      <c r="O229" s="1"/>
      <c r="P229" s="1" t="s">
        <v>26</v>
      </c>
      <c r="Q229" s="1"/>
    </row>
    <row r="230" spans="1:17" hidden="1" x14ac:dyDescent="0.3">
      <c r="A230" s="3" t="s">
        <v>276</v>
      </c>
      <c r="B230" s="1" t="s">
        <v>18</v>
      </c>
      <c r="C230" s="1" t="s">
        <v>19</v>
      </c>
      <c r="D230" s="2">
        <v>5.0999999999999996</v>
      </c>
      <c r="E230" s="1" t="s">
        <v>240</v>
      </c>
      <c r="F230" s="16" t="s">
        <v>277</v>
      </c>
      <c r="G230" s="1" t="s">
        <v>278</v>
      </c>
      <c r="H230" s="1" t="s">
        <v>279</v>
      </c>
      <c r="I230" s="1"/>
      <c r="J230" s="1" t="s">
        <v>280</v>
      </c>
      <c r="K230" s="1" t="s">
        <v>281</v>
      </c>
      <c r="L230" s="1"/>
      <c r="M230" s="1" t="s">
        <v>282</v>
      </c>
      <c r="N230" s="1" t="s">
        <v>283</v>
      </c>
      <c r="O230" s="1"/>
      <c r="P230" s="1" t="s">
        <v>164</v>
      </c>
      <c r="Q230" s="20" t="s">
        <v>284</v>
      </c>
    </row>
    <row r="231" spans="1:17" hidden="1" x14ac:dyDescent="0.3">
      <c r="A231" s="3" t="s">
        <v>285</v>
      </c>
      <c r="B231" s="1" t="s">
        <v>22</v>
      </c>
      <c r="C231" s="1" t="s">
        <v>19</v>
      </c>
      <c r="D231" s="2">
        <v>5.0999999999999996</v>
      </c>
      <c r="E231" s="1" t="s">
        <v>240</v>
      </c>
      <c r="F231" s="30" t="s">
        <v>286</v>
      </c>
      <c r="G231" s="16" t="s">
        <v>287</v>
      </c>
      <c r="H231" s="16" t="s">
        <v>288</v>
      </c>
      <c r="I231" s="16"/>
      <c r="J231" s="16" t="s">
        <v>289</v>
      </c>
      <c r="K231" s="16" t="s">
        <v>290</v>
      </c>
      <c r="L231" s="16"/>
      <c r="M231" s="16" t="s">
        <v>291</v>
      </c>
      <c r="N231" s="16" t="s">
        <v>292</v>
      </c>
      <c r="O231" s="16"/>
      <c r="P231" s="1" t="s">
        <v>164</v>
      </c>
      <c r="Q231" s="1"/>
    </row>
    <row r="232" spans="1:17" hidden="1" x14ac:dyDescent="0.3">
      <c r="A232" s="3" t="s">
        <v>293</v>
      </c>
      <c r="B232" s="1" t="s">
        <v>24</v>
      </c>
      <c r="C232" s="1" t="s">
        <v>19</v>
      </c>
      <c r="D232" s="2">
        <v>5.0999999999999996</v>
      </c>
      <c r="E232" s="1" t="s">
        <v>240</v>
      </c>
      <c r="F232" s="16"/>
      <c r="G232" s="1" t="s">
        <v>25</v>
      </c>
      <c r="H232" s="1" t="s">
        <v>25</v>
      </c>
      <c r="I232" s="1"/>
      <c r="J232" s="1"/>
      <c r="K232" s="1"/>
      <c r="L232" s="1"/>
      <c r="M232" s="1" t="s">
        <v>25</v>
      </c>
      <c r="N232" s="1" t="s">
        <v>25</v>
      </c>
      <c r="O232" s="1"/>
      <c r="P232" s="1" t="s">
        <v>26</v>
      </c>
      <c r="Q232" s="1"/>
    </row>
    <row r="233" spans="1:17" hidden="1" x14ac:dyDescent="0.3">
      <c r="A233" s="3" t="s">
        <v>294</v>
      </c>
      <c r="B233" s="1" t="s">
        <v>28</v>
      </c>
      <c r="C233" s="1" t="s">
        <v>29</v>
      </c>
      <c r="D233" s="2">
        <v>5.0999999999999996</v>
      </c>
      <c r="E233" s="1" t="s">
        <v>240</v>
      </c>
      <c r="F233" s="16" t="s">
        <v>295</v>
      </c>
      <c r="G233" s="1"/>
      <c r="H233" s="1"/>
      <c r="I233" s="1"/>
      <c r="J233" s="1"/>
      <c r="K233" s="1"/>
      <c r="L233" s="1"/>
      <c r="M233" s="1"/>
      <c r="N233" s="1"/>
      <c r="O233" s="1"/>
      <c r="P233" s="1" t="s">
        <v>164</v>
      </c>
      <c r="Q233" s="20" t="s">
        <v>284</v>
      </c>
    </row>
    <row r="234" spans="1:17" hidden="1" x14ac:dyDescent="0.3">
      <c r="A234" s="3" t="s">
        <v>296</v>
      </c>
      <c r="B234" s="1" t="s">
        <v>31</v>
      </c>
      <c r="C234" s="1" t="s">
        <v>29</v>
      </c>
      <c r="D234" s="2">
        <v>5.0999999999999996</v>
      </c>
      <c r="E234" s="1" t="s">
        <v>240</v>
      </c>
      <c r="F234" s="16" t="s">
        <v>297</v>
      </c>
      <c r="G234" s="1"/>
      <c r="H234" s="1"/>
      <c r="I234" s="1"/>
      <c r="J234" s="1"/>
      <c r="K234" s="1"/>
      <c r="L234" s="1"/>
      <c r="M234" s="1"/>
      <c r="N234" s="1"/>
      <c r="O234" s="1"/>
      <c r="P234" s="1" t="s">
        <v>164</v>
      </c>
      <c r="Q234" s="1"/>
    </row>
    <row r="235" spans="1:17" hidden="1" x14ac:dyDescent="0.3">
      <c r="A235" s="3" t="s">
        <v>298</v>
      </c>
      <c r="B235" s="1" t="s">
        <v>33</v>
      </c>
      <c r="C235" s="1" t="s">
        <v>19</v>
      </c>
      <c r="D235" s="2">
        <v>5.0999999999999996</v>
      </c>
      <c r="E235" s="1" t="s">
        <v>240</v>
      </c>
      <c r="F235" s="16" t="s">
        <v>299</v>
      </c>
      <c r="G235" s="16" t="s">
        <v>300</v>
      </c>
      <c r="H235" s="16" t="s">
        <v>301</v>
      </c>
      <c r="I235" s="16"/>
      <c r="J235" s="16" t="s">
        <v>302</v>
      </c>
      <c r="K235" s="16" t="s">
        <v>303</v>
      </c>
      <c r="L235" s="16"/>
      <c r="M235" s="1" t="s">
        <v>25</v>
      </c>
      <c r="N235" s="1" t="s">
        <v>25</v>
      </c>
      <c r="O235" s="1"/>
      <c r="P235" s="1" t="s">
        <v>164</v>
      </c>
      <c r="Q235" s="1"/>
    </row>
    <row r="236" spans="1:17" hidden="1" x14ac:dyDescent="0.3">
      <c r="A236" s="3" t="s">
        <v>304</v>
      </c>
      <c r="B236" s="1" t="s">
        <v>35</v>
      </c>
      <c r="C236" s="1" t="s">
        <v>29</v>
      </c>
      <c r="D236" s="2">
        <v>5.0999999999999996</v>
      </c>
      <c r="E236" s="1" t="s">
        <v>240</v>
      </c>
      <c r="F236" s="16"/>
      <c r="G236" s="1"/>
      <c r="H236" s="1"/>
      <c r="I236" s="1"/>
      <c r="J236" s="1"/>
      <c r="K236" s="1"/>
      <c r="L236" s="1"/>
      <c r="M236" s="1" t="s">
        <v>25</v>
      </c>
      <c r="N236" s="1" t="s">
        <v>25</v>
      </c>
      <c r="O236" s="1"/>
      <c r="P236" s="1" t="s">
        <v>305</v>
      </c>
      <c r="Q236" s="1"/>
    </row>
    <row r="237" spans="1:17" hidden="1" x14ac:dyDescent="0.3">
      <c r="A237" s="3" t="s">
        <v>306</v>
      </c>
      <c r="B237" s="1" t="s">
        <v>37</v>
      </c>
      <c r="C237" s="1" t="s">
        <v>38</v>
      </c>
      <c r="D237" s="2">
        <v>5.0999999999999996</v>
      </c>
      <c r="E237" s="1" t="s">
        <v>240</v>
      </c>
      <c r="F237" s="16"/>
      <c r="G237" s="1" t="s">
        <v>25</v>
      </c>
      <c r="H237" s="1" t="s">
        <v>25</v>
      </c>
      <c r="I237" s="1"/>
      <c r="J237" s="1"/>
      <c r="K237" s="1"/>
      <c r="L237" s="1"/>
      <c r="M237" s="1" t="s">
        <v>25</v>
      </c>
      <c r="N237" s="1" t="s">
        <v>25</v>
      </c>
      <c r="O237" s="1"/>
      <c r="P237" s="1" t="s">
        <v>26</v>
      </c>
      <c r="Q237" s="1"/>
    </row>
    <row r="238" spans="1:17" hidden="1" x14ac:dyDescent="0.3">
      <c r="A238" s="3" t="s">
        <v>307</v>
      </c>
      <c r="B238" s="1" t="s">
        <v>40</v>
      </c>
      <c r="C238" s="1"/>
      <c r="D238" s="2">
        <v>5.0999999999999996</v>
      </c>
      <c r="E238" s="1" t="s">
        <v>240</v>
      </c>
      <c r="F238" s="16"/>
      <c r="G238" s="1" t="s">
        <v>25</v>
      </c>
      <c r="H238" s="1" t="s">
        <v>25</v>
      </c>
      <c r="I238" s="1"/>
      <c r="J238" s="1"/>
      <c r="K238" s="1"/>
      <c r="L238" s="1"/>
      <c r="M238" s="1" t="s">
        <v>25</v>
      </c>
      <c r="N238" s="1" t="s">
        <v>25</v>
      </c>
      <c r="O238" s="1"/>
      <c r="P238" s="1" t="s">
        <v>164</v>
      </c>
      <c r="Q238" s="1"/>
    </row>
    <row r="239" spans="1:17" hidden="1" x14ac:dyDescent="0.3">
      <c r="A239" s="3" t="s">
        <v>308</v>
      </c>
      <c r="B239" s="1" t="s">
        <v>18</v>
      </c>
      <c r="C239" s="1" t="s">
        <v>19</v>
      </c>
      <c r="D239" s="2">
        <v>5.2</v>
      </c>
      <c r="E239" s="1" t="s">
        <v>240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 t="s">
        <v>164</v>
      </c>
      <c r="Q239" s="1"/>
    </row>
    <row r="240" spans="1:17" hidden="1" x14ac:dyDescent="0.3">
      <c r="A240" s="3" t="s">
        <v>309</v>
      </c>
      <c r="B240" s="1" t="s">
        <v>22</v>
      </c>
      <c r="C240" s="1" t="s">
        <v>19</v>
      </c>
      <c r="D240" s="2">
        <v>5.2</v>
      </c>
      <c r="E240" s="1" t="s">
        <v>240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 t="s">
        <v>164</v>
      </c>
      <c r="Q240" s="1"/>
    </row>
    <row r="241" spans="1:17" hidden="1" x14ac:dyDescent="0.3">
      <c r="A241" s="3" t="s">
        <v>310</v>
      </c>
      <c r="B241" s="1" t="s">
        <v>24</v>
      </c>
      <c r="C241" s="1" t="s">
        <v>19</v>
      </c>
      <c r="D241" s="2">
        <v>5.2</v>
      </c>
      <c r="E241" s="1" t="s">
        <v>240</v>
      </c>
      <c r="F241" s="1"/>
      <c r="G241" s="1" t="s">
        <v>25</v>
      </c>
      <c r="H241" s="1" t="s">
        <v>25</v>
      </c>
      <c r="I241" s="1"/>
      <c r="J241" s="1"/>
      <c r="K241" s="1"/>
      <c r="L241" s="1"/>
      <c r="M241" s="1" t="s">
        <v>25</v>
      </c>
      <c r="N241" s="1" t="s">
        <v>25</v>
      </c>
      <c r="O241" s="1"/>
      <c r="P241" s="1" t="s">
        <v>26</v>
      </c>
      <c r="Q241" s="1"/>
    </row>
    <row r="242" spans="1:17" hidden="1" x14ac:dyDescent="0.3">
      <c r="A242" s="3" t="s">
        <v>311</v>
      </c>
      <c r="B242" s="1" t="s">
        <v>28</v>
      </c>
      <c r="C242" s="1" t="s">
        <v>29</v>
      </c>
      <c r="D242" s="2">
        <v>5.2</v>
      </c>
      <c r="E242" s="1" t="s">
        <v>240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 t="s">
        <v>164</v>
      </c>
      <c r="Q242" s="1"/>
    </row>
    <row r="243" spans="1:17" hidden="1" x14ac:dyDescent="0.3">
      <c r="A243" s="3" t="s">
        <v>312</v>
      </c>
      <c r="B243" s="1" t="s">
        <v>31</v>
      </c>
      <c r="C243" s="1" t="s">
        <v>29</v>
      </c>
      <c r="D243" s="2">
        <v>5.2</v>
      </c>
      <c r="E243" s="1" t="s">
        <v>240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 t="s">
        <v>164</v>
      </c>
      <c r="Q243" s="1"/>
    </row>
    <row r="244" spans="1:17" hidden="1" x14ac:dyDescent="0.3">
      <c r="A244" s="3" t="s">
        <v>313</v>
      </c>
      <c r="B244" s="1" t="s">
        <v>33</v>
      </c>
      <c r="C244" s="1" t="s">
        <v>19</v>
      </c>
      <c r="D244" s="2">
        <v>5.2</v>
      </c>
      <c r="E244" s="1" t="s">
        <v>240</v>
      </c>
      <c r="F244" s="1"/>
      <c r="G244" s="1"/>
      <c r="H244" s="1"/>
      <c r="I244" s="1"/>
      <c r="J244" s="1"/>
      <c r="K244" s="1"/>
      <c r="L244" s="1"/>
      <c r="M244" s="1" t="s">
        <v>25</v>
      </c>
      <c r="N244" s="1" t="s">
        <v>25</v>
      </c>
      <c r="O244" s="1"/>
      <c r="P244" s="1" t="s">
        <v>164</v>
      </c>
      <c r="Q244" s="1"/>
    </row>
    <row r="245" spans="1:17" hidden="1" x14ac:dyDescent="0.3">
      <c r="A245" s="3" t="s">
        <v>314</v>
      </c>
      <c r="B245" s="1" t="s">
        <v>35</v>
      </c>
      <c r="C245" s="1" t="s">
        <v>29</v>
      </c>
      <c r="D245" s="2">
        <v>5.2</v>
      </c>
      <c r="E245" s="1" t="s">
        <v>240</v>
      </c>
      <c r="F245" s="1"/>
      <c r="G245" s="1"/>
      <c r="H245" s="1"/>
      <c r="I245" s="1"/>
      <c r="J245" s="1"/>
      <c r="K245" s="1"/>
      <c r="L245" s="1"/>
      <c r="M245" s="1" t="s">
        <v>25</v>
      </c>
      <c r="N245" s="1" t="s">
        <v>25</v>
      </c>
      <c r="O245" s="1"/>
      <c r="P245" s="1" t="s">
        <v>164</v>
      </c>
      <c r="Q245" s="1"/>
    </row>
    <row r="246" spans="1:17" hidden="1" x14ac:dyDescent="0.3">
      <c r="A246" s="3" t="s">
        <v>315</v>
      </c>
      <c r="B246" s="1" t="s">
        <v>37</v>
      </c>
      <c r="C246" s="1" t="s">
        <v>38</v>
      </c>
      <c r="D246" s="2">
        <v>5.2</v>
      </c>
      <c r="E246" s="1" t="s">
        <v>240</v>
      </c>
      <c r="F246" s="1"/>
      <c r="G246" s="1" t="s">
        <v>25</v>
      </c>
      <c r="H246" s="1" t="s">
        <v>25</v>
      </c>
      <c r="I246" s="1"/>
      <c r="J246" s="1"/>
      <c r="K246" s="1"/>
      <c r="L246" s="1"/>
      <c r="M246" s="1" t="s">
        <v>25</v>
      </c>
      <c r="N246" s="1" t="s">
        <v>25</v>
      </c>
      <c r="O246" s="1"/>
      <c r="P246" s="1" t="s">
        <v>26</v>
      </c>
      <c r="Q246" s="1"/>
    </row>
    <row r="247" spans="1:17" hidden="1" x14ac:dyDescent="0.3">
      <c r="A247" s="3" t="s">
        <v>316</v>
      </c>
      <c r="B247" s="1" t="s">
        <v>40</v>
      </c>
      <c r="C247" s="1"/>
      <c r="D247" s="2">
        <v>5.2</v>
      </c>
      <c r="E247" s="1" t="s">
        <v>240</v>
      </c>
      <c r="F247" s="1"/>
      <c r="G247" s="1" t="s">
        <v>25</v>
      </c>
      <c r="H247" s="1" t="s">
        <v>25</v>
      </c>
      <c r="I247" s="1"/>
      <c r="J247" s="1"/>
      <c r="K247" s="1"/>
      <c r="L247" s="1"/>
      <c r="M247" s="1" t="s">
        <v>25</v>
      </c>
      <c r="N247" s="1" t="s">
        <v>25</v>
      </c>
      <c r="O247" s="1"/>
      <c r="P247" s="1" t="s">
        <v>26</v>
      </c>
      <c r="Q247" s="1"/>
    </row>
    <row r="248" spans="1:17" ht="28.8" hidden="1" x14ac:dyDescent="0.3">
      <c r="A248" s="3" t="s">
        <v>317</v>
      </c>
      <c r="B248" s="1" t="s">
        <v>18</v>
      </c>
      <c r="C248" s="1" t="s">
        <v>19</v>
      </c>
      <c r="D248" s="2">
        <v>5.3</v>
      </c>
      <c r="E248" s="1" t="s">
        <v>240</v>
      </c>
      <c r="F248" s="1"/>
      <c r="G248" s="35" t="s">
        <v>318</v>
      </c>
      <c r="H248" s="19" t="s">
        <v>319</v>
      </c>
      <c r="I248" s="19"/>
      <c r="J248" s="35" t="s">
        <v>320</v>
      </c>
      <c r="K248" s="19" t="s">
        <v>321</v>
      </c>
      <c r="L248" s="19"/>
      <c r="M248" s="35" t="s">
        <v>322</v>
      </c>
      <c r="N248" s="19" t="s">
        <v>323</v>
      </c>
      <c r="O248" s="19"/>
      <c r="P248" s="1" t="s">
        <v>164</v>
      </c>
      <c r="Q248" s="1"/>
    </row>
    <row r="249" spans="1:17" hidden="1" x14ac:dyDescent="0.3">
      <c r="A249" s="3" t="s">
        <v>324</v>
      </c>
      <c r="B249" s="1" t="s">
        <v>22</v>
      </c>
      <c r="C249" s="1" t="s">
        <v>19</v>
      </c>
      <c r="D249" s="2">
        <v>5.3</v>
      </c>
      <c r="E249" s="1" t="s">
        <v>240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 t="s">
        <v>164</v>
      </c>
      <c r="Q249" s="1"/>
    </row>
    <row r="250" spans="1:17" hidden="1" x14ac:dyDescent="0.3">
      <c r="A250" s="3" t="s">
        <v>325</v>
      </c>
      <c r="B250" s="1" t="s">
        <v>24</v>
      </c>
      <c r="C250" s="1" t="s">
        <v>19</v>
      </c>
      <c r="D250" s="2">
        <v>5.3</v>
      </c>
      <c r="E250" s="1" t="s">
        <v>240</v>
      </c>
      <c r="F250" s="1"/>
      <c r="G250" s="1" t="s">
        <v>25</v>
      </c>
      <c r="H250" s="1" t="s">
        <v>25</v>
      </c>
      <c r="I250" s="1"/>
      <c r="J250" s="1"/>
      <c r="K250" s="1"/>
      <c r="L250" s="1"/>
      <c r="M250" s="1" t="s">
        <v>25</v>
      </c>
      <c r="N250" s="1" t="s">
        <v>25</v>
      </c>
      <c r="O250" s="1"/>
      <c r="P250" s="1" t="s">
        <v>26</v>
      </c>
      <c r="Q250" s="1"/>
    </row>
    <row r="251" spans="1:17" hidden="1" x14ac:dyDescent="0.3">
      <c r="A251" s="3" t="s">
        <v>326</v>
      </c>
      <c r="B251" s="1" t="s">
        <v>28</v>
      </c>
      <c r="C251" s="1" t="s">
        <v>29</v>
      </c>
      <c r="D251" s="2">
        <v>5.3</v>
      </c>
      <c r="E251" s="1" t="s">
        <v>240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 t="s">
        <v>164</v>
      </c>
      <c r="Q251" s="1"/>
    </row>
    <row r="252" spans="1:17" hidden="1" x14ac:dyDescent="0.3">
      <c r="A252" s="3" t="s">
        <v>327</v>
      </c>
      <c r="B252" s="1" t="s">
        <v>31</v>
      </c>
      <c r="C252" s="1" t="s">
        <v>29</v>
      </c>
      <c r="D252" s="2">
        <v>5.3</v>
      </c>
      <c r="E252" s="1" t="s">
        <v>240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 t="s">
        <v>164</v>
      </c>
      <c r="Q252" s="1"/>
    </row>
    <row r="253" spans="1:17" hidden="1" x14ac:dyDescent="0.3">
      <c r="A253" s="3" t="s">
        <v>328</v>
      </c>
      <c r="B253" s="1" t="s">
        <v>33</v>
      </c>
      <c r="C253" s="1" t="s">
        <v>19</v>
      </c>
      <c r="D253" s="2">
        <v>5.3</v>
      </c>
      <c r="E253" s="1" t="s">
        <v>240</v>
      </c>
      <c r="F253" s="1"/>
      <c r="G253" s="1"/>
      <c r="H253" s="1"/>
      <c r="I253" s="1"/>
      <c r="J253" s="1"/>
      <c r="K253" s="1"/>
      <c r="L253" s="1"/>
      <c r="M253" s="1" t="s">
        <v>25</v>
      </c>
      <c r="N253" s="1" t="s">
        <v>25</v>
      </c>
      <c r="O253" s="1"/>
      <c r="P253" s="1" t="s">
        <v>164</v>
      </c>
      <c r="Q253" s="1"/>
    </row>
    <row r="254" spans="1:17" hidden="1" x14ac:dyDescent="0.3">
      <c r="A254" s="3" t="s">
        <v>329</v>
      </c>
      <c r="B254" s="1" t="s">
        <v>35</v>
      </c>
      <c r="C254" s="1" t="s">
        <v>29</v>
      </c>
      <c r="D254" s="2">
        <v>5.3</v>
      </c>
      <c r="E254" s="1" t="s">
        <v>240</v>
      </c>
      <c r="F254" s="1"/>
      <c r="G254" s="1"/>
      <c r="H254" s="1"/>
      <c r="I254" s="1"/>
      <c r="J254" s="1"/>
      <c r="K254" s="1"/>
      <c r="L254" s="1"/>
      <c r="M254" s="1" t="s">
        <v>25</v>
      </c>
      <c r="N254" s="1" t="s">
        <v>25</v>
      </c>
      <c r="O254" s="1"/>
      <c r="P254" s="1" t="s">
        <v>164</v>
      </c>
      <c r="Q254" s="1"/>
    </row>
    <row r="255" spans="1:17" hidden="1" x14ac:dyDescent="0.3">
      <c r="A255" s="3" t="s">
        <v>330</v>
      </c>
      <c r="B255" s="1" t="s">
        <v>37</v>
      </c>
      <c r="C255" s="1" t="s">
        <v>38</v>
      </c>
      <c r="D255" s="2">
        <v>5.3</v>
      </c>
      <c r="E255" s="1" t="s">
        <v>240</v>
      </c>
      <c r="F255" s="1"/>
      <c r="G255" s="1" t="s">
        <v>25</v>
      </c>
      <c r="H255" s="1" t="s">
        <v>25</v>
      </c>
      <c r="I255" s="1"/>
      <c r="J255" s="1"/>
      <c r="K255" s="1"/>
      <c r="L255" s="1"/>
      <c r="M255" s="1" t="s">
        <v>25</v>
      </c>
      <c r="N255" s="1" t="s">
        <v>25</v>
      </c>
      <c r="O255" s="1"/>
      <c r="P255" s="1" t="s">
        <v>26</v>
      </c>
      <c r="Q255" s="1"/>
    </row>
    <row r="256" spans="1:17" hidden="1" x14ac:dyDescent="0.3">
      <c r="A256" s="3" t="s">
        <v>331</v>
      </c>
      <c r="B256" s="1" t="s">
        <v>40</v>
      </c>
      <c r="C256" s="1"/>
      <c r="D256" s="2">
        <v>5.3</v>
      </c>
      <c r="E256" s="1" t="s">
        <v>240</v>
      </c>
      <c r="F256" s="1"/>
      <c r="G256" s="1" t="s">
        <v>25</v>
      </c>
      <c r="H256" s="1" t="s">
        <v>25</v>
      </c>
      <c r="I256" s="1"/>
      <c r="J256" s="1"/>
      <c r="K256" s="1"/>
      <c r="L256" s="1"/>
      <c r="M256" s="1" t="s">
        <v>25</v>
      </c>
      <c r="N256" s="1" t="s">
        <v>25</v>
      </c>
      <c r="O256" s="1"/>
      <c r="P256" s="1" t="s">
        <v>26</v>
      </c>
      <c r="Q256" s="1"/>
    </row>
    <row r="257" spans="1:17" x14ac:dyDescent="0.3">
      <c r="A257" s="3" t="s">
        <v>332</v>
      </c>
      <c r="B257" s="1" t="s">
        <v>96</v>
      </c>
      <c r="C257" s="1"/>
      <c r="D257" s="2">
        <v>5.3</v>
      </c>
      <c r="E257" s="1" t="s">
        <v>240</v>
      </c>
      <c r="F257" s="1"/>
      <c r="G257" s="1" t="s">
        <v>25</v>
      </c>
      <c r="H257" s="1" t="s">
        <v>25</v>
      </c>
      <c r="I257" s="1"/>
      <c r="J257" s="1"/>
      <c r="K257" s="1"/>
      <c r="L257" s="1"/>
      <c r="M257" s="1" t="s">
        <v>25</v>
      </c>
      <c r="N257" s="1" t="s">
        <v>25</v>
      </c>
      <c r="O257" s="1"/>
      <c r="P257" s="1" t="s">
        <v>26</v>
      </c>
      <c r="Q257" s="1"/>
    </row>
  </sheetData>
  <autoFilter ref="A1:Q257" xr:uid="{7B9D7A54-9A14-4205-9089-936B8ADF19D2}">
    <filterColumn colId="1">
      <filters>
        <filter val="MDR"/>
      </filters>
    </filterColumn>
    <filterColumn colId="4">
      <filters>
        <filter val="UIT-B"/>
      </filters>
    </filterColumn>
  </autoFilter>
  <pageMargins left="0.7" right="0.7" top="0.75" bottom="0.75" header="0.3" footer="0.3"/>
  <headerFooter>
    <oddHeader>&amp;C&amp;"Calibri"&amp;10&amp;KFF0000 DCC Controlled&amp;1#_x000D_</oddHeader>
    <oddFooter>&amp;C_x000D_&amp;1#&amp;"Calibri"&amp;10&amp;KFF0000 DCC Controlled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DC16F-F7CC-4DF3-B172-CD0ABCDB6565}">
  <dimension ref="A1:J411"/>
  <sheetViews>
    <sheetView workbookViewId="0">
      <pane ySplit="1" topLeftCell="A378" activePane="bottomLeft" state="frozen"/>
      <selection pane="bottomLeft" activeCell="G389" sqref="G389"/>
    </sheetView>
  </sheetViews>
  <sheetFormatPr defaultColWidth="8.88671875" defaultRowHeight="14.4" x14ac:dyDescent="0.3"/>
  <cols>
    <col min="1" max="1" width="17.5546875" style="9" customWidth="1"/>
    <col min="2" max="2" width="17.5546875" style="9" hidden="1" customWidth="1"/>
    <col min="3" max="3" width="13" style="9" bestFit="1" customWidth="1"/>
    <col min="4" max="4" width="28.44140625" style="9" customWidth="1"/>
    <col min="5" max="5" width="10.88671875" style="9" customWidth="1"/>
    <col min="6" max="6" width="13.109375" style="26" customWidth="1"/>
    <col min="7" max="7" width="24.109375" style="9" customWidth="1"/>
    <col min="8" max="8" width="19" style="9" customWidth="1"/>
    <col min="9" max="9" width="26.88671875" style="9" bestFit="1" customWidth="1"/>
    <col min="10" max="10" width="32.5546875" style="9" bestFit="1" customWidth="1"/>
    <col min="11" max="11" width="9.44140625" style="9" bestFit="1" customWidth="1"/>
    <col min="12" max="12" width="12.5546875" style="9" bestFit="1" customWidth="1"/>
    <col min="13" max="13" width="5.5546875" style="9" bestFit="1" customWidth="1"/>
    <col min="14" max="16384" width="8.88671875" style="9"/>
  </cols>
  <sheetData>
    <row r="1" spans="1:8" x14ac:dyDescent="0.3">
      <c r="A1" s="17" t="s">
        <v>333</v>
      </c>
      <c r="B1" s="17" t="s">
        <v>334</v>
      </c>
      <c r="C1" s="17" t="s">
        <v>4</v>
      </c>
      <c r="D1" s="17" t="s">
        <v>335</v>
      </c>
      <c r="E1" s="18" t="s">
        <v>1</v>
      </c>
      <c r="F1" s="25" t="s">
        <v>3</v>
      </c>
      <c r="G1" s="8" t="s">
        <v>336</v>
      </c>
      <c r="H1" s="8" t="s">
        <v>337</v>
      </c>
    </row>
    <row r="2" spans="1:8" x14ac:dyDescent="0.3">
      <c r="A2" s="6">
        <v>2200041044971</v>
      </c>
      <c r="B2" s="6">
        <f>COUNTIF(A$2:A$411,A2)</f>
        <v>1</v>
      </c>
      <c r="C2" s="19" t="s">
        <v>240</v>
      </c>
      <c r="D2" s="3" t="s">
        <v>293</v>
      </c>
      <c r="E2" s="19" t="str">
        <f>VLOOKUP(D2,'Org Setup'!A:B,2,0)</f>
        <v>ES</v>
      </c>
      <c r="F2" s="23">
        <f>VLOOKUP(D2,'Org Setup'!A:D,4,0)</f>
        <v>5.0999999999999996</v>
      </c>
    </row>
    <row r="3" spans="1:8" x14ac:dyDescent="0.3">
      <c r="A3" s="6">
        <v>2200041044243</v>
      </c>
      <c r="B3" s="6">
        <f t="shared" ref="B3:B66" si="0">COUNTIF(A$2:A$411,A3)</f>
        <v>1</v>
      </c>
      <c r="C3" s="19" t="s">
        <v>240</v>
      </c>
      <c r="D3" s="3" t="s">
        <v>293</v>
      </c>
      <c r="E3" s="19" t="str">
        <f>VLOOKUP(D3,'Org Setup'!A:B,2,0)</f>
        <v>ES</v>
      </c>
      <c r="F3" s="23">
        <f>VLOOKUP(D3,'Org Setup'!A:D,4,0)</f>
        <v>5.0999999999999996</v>
      </c>
    </row>
    <row r="4" spans="1:8" x14ac:dyDescent="0.3">
      <c r="A4" s="6">
        <v>2200040683523</v>
      </c>
      <c r="B4" s="6">
        <f t="shared" si="0"/>
        <v>1</v>
      </c>
      <c r="C4" s="19" t="s">
        <v>240</v>
      </c>
      <c r="D4" s="3" t="s">
        <v>276</v>
      </c>
      <c r="E4" s="19" t="str">
        <f>VLOOKUP(D4,'Org Setup'!A:B,2,0)</f>
        <v>IS (1)</v>
      </c>
      <c r="F4" s="23">
        <f>VLOOKUP(D4,'Org Setup'!A:D,4,0)</f>
        <v>5.0999999999999996</v>
      </c>
      <c r="G4" s="9" t="s">
        <v>338</v>
      </c>
    </row>
    <row r="5" spans="1:8" x14ac:dyDescent="0.3">
      <c r="A5" s="6">
        <v>2200040683505</v>
      </c>
      <c r="B5" s="6">
        <f t="shared" si="0"/>
        <v>1</v>
      </c>
      <c r="C5" s="19" t="s">
        <v>240</v>
      </c>
      <c r="D5" s="3" t="s">
        <v>276</v>
      </c>
      <c r="E5" s="19" t="str">
        <f>VLOOKUP(D5,'Org Setup'!A:B,2,0)</f>
        <v>IS (1)</v>
      </c>
      <c r="F5" s="23">
        <f>VLOOKUP(D5,'Org Setup'!A:D,4,0)</f>
        <v>5.0999999999999996</v>
      </c>
      <c r="G5" s="9" t="s">
        <v>339</v>
      </c>
      <c r="H5" s="52" t="s">
        <v>340</v>
      </c>
    </row>
    <row r="6" spans="1:8" x14ac:dyDescent="0.3">
      <c r="A6" s="6">
        <v>2200040683277</v>
      </c>
      <c r="B6" s="6">
        <f t="shared" si="0"/>
        <v>1</v>
      </c>
      <c r="C6" s="19" t="s">
        <v>240</v>
      </c>
      <c r="D6" s="3" t="s">
        <v>293</v>
      </c>
      <c r="E6" s="19" t="str">
        <f>VLOOKUP(D6,'Org Setup'!A:B,2,0)</f>
        <v>ES</v>
      </c>
      <c r="F6" s="23">
        <f>VLOOKUP(D6,'Org Setup'!A:D,4,0)</f>
        <v>5.0999999999999996</v>
      </c>
      <c r="G6" s="9" t="s">
        <v>341</v>
      </c>
    </row>
    <row r="7" spans="1:8" x14ac:dyDescent="0.3">
      <c r="A7" s="6">
        <v>2200023876953</v>
      </c>
      <c r="B7" s="6">
        <f t="shared" si="0"/>
        <v>1</v>
      </c>
      <c r="C7" s="19" t="s">
        <v>240</v>
      </c>
      <c r="D7" s="3" t="s">
        <v>293</v>
      </c>
      <c r="E7" s="19" t="str">
        <f>VLOOKUP(D7,'Org Setup'!A:B,2,0)</f>
        <v>ES</v>
      </c>
      <c r="F7" s="23">
        <f>VLOOKUP(D7,'Org Setup'!A:D,4,0)</f>
        <v>5.0999999999999996</v>
      </c>
    </row>
    <row r="8" spans="1:8" x14ac:dyDescent="0.3">
      <c r="A8" s="6">
        <v>2200023649121</v>
      </c>
      <c r="B8" s="6">
        <f t="shared" si="0"/>
        <v>1</v>
      </c>
      <c r="C8" s="19" t="s">
        <v>240</v>
      </c>
      <c r="D8" s="3" t="s">
        <v>276</v>
      </c>
      <c r="E8" s="19" t="str">
        <f>VLOOKUP(D8,'Org Setup'!A:B,2,0)</f>
        <v>IS (1)</v>
      </c>
      <c r="F8" s="23">
        <f>VLOOKUP(D8,'Org Setup'!A:D,4,0)</f>
        <v>5.0999999999999996</v>
      </c>
      <c r="G8" s="9" t="s">
        <v>342</v>
      </c>
      <c r="H8" s="52" t="s">
        <v>343</v>
      </c>
    </row>
    <row r="9" spans="1:8" x14ac:dyDescent="0.3">
      <c r="A9" s="6">
        <v>2200023467563</v>
      </c>
      <c r="B9" s="6">
        <f t="shared" si="0"/>
        <v>1</v>
      </c>
      <c r="C9" s="19" t="s">
        <v>240</v>
      </c>
      <c r="D9" s="3" t="s">
        <v>293</v>
      </c>
      <c r="E9" s="19" t="str">
        <f>VLOOKUP(D9,'Org Setup'!A:B,2,0)</f>
        <v>ES</v>
      </c>
      <c r="F9" s="23">
        <f>VLOOKUP(D9,'Org Setup'!A:D,4,0)</f>
        <v>5.0999999999999996</v>
      </c>
    </row>
    <row r="10" spans="1:8" x14ac:dyDescent="0.3">
      <c r="A10" s="6">
        <v>2200023373560</v>
      </c>
      <c r="B10" s="6">
        <f t="shared" si="0"/>
        <v>1</v>
      </c>
      <c r="C10" s="19" t="s">
        <v>240</v>
      </c>
      <c r="D10" s="3" t="s">
        <v>293</v>
      </c>
      <c r="E10" s="19" t="str">
        <f>VLOOKUP(D10,'Org Setup'!A:B,2,0)</f>
        <v>ES</v>
      </c>
      <c r="F10" s="23">
        <f>VLOOKUP(D10,'Org Setup'!A:D,4,0)</f>
        <v>5.0999999999999996</v>
      </c>
      <c r="G10" s="9" t="s">
        <v>344</v>
      </c>
    </row>
    <row r="11" spans="1:8" x14ac:dyDescent="0.3">
      <c r="A11" s="6">
        <v>2200022873367</v>
      </c>
      <c r="B11" s="6">
        <f t="shared" si="0"/>
        <v>1</v>
      </c>
      <c r="C11" s="19" t="s">
        <v>240</v>
      </c>
      <c r="D11" s="3" t="s">
        <v>276</v>
      </c>
      <c r="E11" s="19" t="str">
        <f>VLOOKUP(D11,'Org Setup'!A:B,2,0)</f>
        <v>IS (1)</v>
      </c>
      <c r="F11" s="23">
        <f>VLOOKUP(D11,'Org Setup'!A:D,4,0)</f>
        <v>5.0999999999999996</v>
      </c>
      <c r="G11" s="9" t="s">
        <v>345</v>
      </c>
      <c r="H11" s="52" t="s">
        <v>346</v>
      </c>
    </row>
    <row r="12" spans="1:8" x14ac:dyDescent="0.3">
      <c r="A12" s="6">
        <v>2200021898741</v>
      </c>
      <c r="B12" s="6">
        <f t="shared" si="0"/>
        <v>1</v>
      </c>
      <c r="C12" s="19" t="s">
        <v>240</v>
      </c>
      <c r="D12" s="3" t="s">
        <v>293</v>
      </c>
      <c r="E12" s="19" t="str">
        <f>VLOOKUP(D12,'Org Setup'!A:B,2,0)</f>
        <v>ES</v>
      </c>
      <c r="F12" s="23">
        <f>VLOOKUP(D12,'Org Setup'!A:D,4,0)</f>
        <v>5.0999999999999996</v>
      </c>
    </row>
    <row r="13" spans="1:8" x14ac:dyDescent="0.3">
      <c r="A13" s="6">
        <v>2200021745799</v>
      </c>
      <c r="B13" s="6">
        <f t="shared" si="0"/>
        <v>1</v>
      </c>
      <c r="C13" s="19" t="s">
        <v>240</v>
      </c>
      <c r="D13" s="3" t="s">
        <v>276</v>
      </c>
      <c r="E13" s="19" t="str">
        <f>VLOOKUP(D13,'Org Setup'!A:B,2,0)</f>
        <v>IS (1)</v>
      </c>
      <c r="F13" s="23">
        <f>VLOOKUP(D13,'Org Setup'!A:D,4,0)</f>
        <v>5.0999999999999996</v>
      </c>
      <c r="G13" s="9" t="s">
        <v>347</v>
      </c>
      <c r="H13" s="52" t="s">
        <v>348</v>
      </c>
    </row>
    <row r="14" spans="1:8" x14ac:dyDescent="0.3">
      <c r="A14" s="6">
        <v>2200021384988</v>
      </c>
      <c r="B14" s="6">
        <f t="shared" si="0"/>
        <v>1</v>
      </c>
      <c r="C14" s="19" t="s">
        <v>240</v>
      </c>
      <c r="D14" s="3" t="s">
        <v>276</v>
      </c>
      <c r="E14" s="19" t="str">
        <f>VLOOKUP(D14,'Org Setup'!A:B,2,0)</f>
        <v>IS (1)</v>
      </c>
      <c r="F14" s="23">
        <f>VLOOKUP(D14,'Org Setup'!A:D,4,0)</f>
        <v>5.0999999999999996</v>
      </c>
      <c r="G14" s="9" t="s">
        <v>349</v>
      </c>
      <c r="H14" s="52" t="s">
        <v>350</v>
      </c>
    </row>
    <row r="15" spans="1:8" x14ac:dyDescent="0.3">
      <c r="A15" s="6">
        <v>2200020312779</v>
      </c>
      <c r="B15" s="6">
        <f t="shared" si="0"/>
        <v>1</v>
      </c>
      <c r="C15" s="19" t="s">
        <v>240</v>
      </c>
      <c r="D15" s="3" t="s">
        <v>293</v>
      </c>
      <c r="E15" s="19" t="str">
        <f>VLOOKUP(D15,'Org Setup'!A:B,2,0)</f>
        <v>ES</v>
      </c>
      <c r="F15" s="23">
        <f>VLOOKUP(D15,'Org Setup'!A:D,4,0)</f>
        <v>5.0999999999999996</v>
      </c>
    </row>
    <row r="16" spans="1:8" x14ac:dyDescent="0.3">
      <c r="A16" s="6">
        <v>2200020312157</v>
      </c>
      <c r="B16" s="6">
        <f t="shared" si="0"/>
        <v>1</v>
      </c>
      <c r="C16" s="19" t="s">
        <v>240</v>
      </c>
      <c r="D16" s="3" t="s">
        <v>276</v>
      </c>
      <c r="E16" s="19" t="str">
        <f>VLOOKUP(D16,'Org Setup'!A:B,2,0)</f>
        <v>IS (1)</v>
      </c>
      <c r="F16" s="23">
        <f>VLOOKUP(D16,'Org Setup'!A:D,4,0)</f>
        <v>5.0999999999999996</v>
      </c>
      <c r="G16" s="9" t="s">
        <v>351</v>
      </c>
      <c r="H16" s="52" t="s">
        <v>352</v>
      </c>
    </row>
    <row r="17" spans="1:8" x14ac:dyDescent="0.3">
      <c r="A17" s="6">
        <v>2200020312120</v>
      </c>
      <c r="B17" s="6">
        <f t="shared" si="0"/>
        <v>1</v>
      </c>
      <c r="C17" s="19" t="s">
        <v>240</v>
      </c>
      <c r="D17" s="3" t="s">
        <v>276</v>
      </c>
      <c r="E17" s="19" t="str">
        <f>VLOOKUP(D17,'Org Setup'!A:B,2,0)</f>
        <v>IS (1)</v>
      </c>
      <c r="F17" s="23">
        <f>VLOOKUP(D17,'Org Setup'!A:D,4,0)</f>
        <v>5.0999999999999996</v>
      </c>
      <c r="G17" s="9" t="s">
        <v>353</v>
      </c>
      <c r="H17" s="52" t="s">
        <v>354</v>
      </c>
    </row>
    <row r="18" spans="1:8" x14ac:dyDescent="0.3">
      <c r="A18" s="6">
        <v>2200019493881</v>
      </c>
      <c r="B18" s="6">
        <f t="shared" si="0"/>
        <v>1</v>
      </c>
      <c r="C18" s="19" t="s">
        <v>240</v>
      </c>
      <c r="D18" s="3" t="s">
        <v>293</v>
      </c>
      <c r="E18" s="19" t="str">
        <f>VLOOKUP(D18,'Org Setup'!A:B,2,0)</f>
        <v>ES</v>
      </c>
      <c r="F18" s="23">
        <f>VLOOKUP(D18,'Org Setup'!A:D,4,0)</f>
        <v>5.0999999999999996</v>
      </c>
    </row>
    <row r="19" spans="1:8" x14ac:dyDescent="0.3">
      <c r="A19" s="6">
        <v>2200019493482</v>
      </c>
      <c r="B19" s="6">
        <f t="shared" si="0"/>
        <v>1</v>
      </c>
      <c r="C19" s="19" t="s">
        <v>240</v>
      </c>
      <c r="D19" s="3" t="s">
        <v>293</v>
      </c>
      <c r="E19" s="19" t="str">
        <f>VLOOKUP(D19,'Org Setup'!A:B,2,0)</f>
        <v>ES</v>
      </c>
      <c r="F19" s="23">
        <f>VLOOKUP(D19,'Org Setup'!A:D,4,0)</f>
        <v>5.0999999999999996</v>
      </c>
    </row>
    <row r="20" spans="1:8" x14ac:dyDescent="0.3">
      <c r="A20" s="6">
        <v>2200019439607</v>
      </c>
      <c r="B20" s="6">
        <f t="shared" si="0"/>
        <v>1</v>
      </c>
      <c r="C20" s="19" t="s">
        <v>240</v>
      </c>
      <c r="D20" s="3" t="s">
        <v>276</v>
      </c>
      <c r="E20" s="19" t="str">
        <f>VLOOKUP(D20,'Org Setup'!A:B,2,0)</f>
        <v>IS (1)</v>
      </c>
      <c r="F20" s="23">
        <f>VLOOKUP(D20,'Org Setup'!A:D,4,0)</f>
        <v>5.0999999999999996</v>
      </c>
      <c r="G20" s="9" t="s">
        <v>355</v>
      </c>
      <c r="H20" s="52" t="s">
        <v>356</v>
      </c>
    </row>
    <row r="21" spans="1:8" x14ac:dyDescent="0.3">
      <c r="A21" s="6">
        <v>2200019439582</v>
      </c>
      <c r="B21" s="6">
        <f t="shared" si="0"/>
        <v>1</v>
      </c>
      <c r="C21" s="19" t="s">
        <v>240</v>
      </c>
      <c r="D21" s="3" t="s">
        <v>276</v>
      </c>
      <c r="E21" s="19" t="str">
        <f>VLOOKUP(D21,'Org Setup'!A:B,2,0)</f>
        <v>IS (1)</v>
      </c>
      <c r="F21" s="23">
        <f>VLOOKUP(D21,'Org Setup'!A:D,4,0)</f>
        <v>5.0999999999999996</v>
      </c>
      <c r="G21" s="9" t="s">
        <v>357</v>
      </c>
      <c r="H21" s="52" t="s">
        <v>358</v>
      </c>
    </row>
    <row r="22" spans="1:8" x14ac:dyDescent="0.3">
      <c r="A22" s="6">
        <v>2200019154030</v>
      </c>
      <c r="B22" s="6">
        <f t="shared" si="0"/>
        <v>1</v>
      </c>
      <c r="C22" s="19" t="s">
        <v>240</v>
      </c>
      <c r="D22" s="3" t="s">
        <v>276</v>
      </c>
      <c r="E22" s="19" t="str">
        <f>VLOOKUP(D22,'Org Setup'!A:B,2,0)</f>
        <v>IS (1)</v>
      </c>
      <c r="F22" s="23">
        <f>VLOOKUP(D22,'Org Setup'!A:D,4,0)</f>
        <v>5.0999999999999996</v>
      </c>
      <c r="G22" s="9" t="s">
        <v>359</v>
      </c>
      <c r="H22" s="9" t="s">
        <v>360</v>
      </c>
    </row>
    <row r="23" spans="1:8" x14ac:dyDescent="0.3">
      <c r="A23" s="6">
        <v>2200019066819</v>
      </c>
      <c r="B23" s="6">
        <f t="shared" si="0"/>
        <v>1</v>
      </c>
      <c r="C23" s="19" t="s">
        <v>240</v>
      </c>
      <c r="D23" s="3" t="s">
        <v>276</v>
      </c>
      <c r="E23" s="19" t="str">
        <f>VLOOKUP(D23,'Org Setup'!A:B,2,0)</f>
        <v>IS (1)</v>
      </c>
      <c r="F23" s="23">
        <f>VLOOKUP(D23,'Org Setup'!A:D,4,0)</f>
        <v>5.0999999999999996</v>
      </c>
    </row>
    <row r="24" spans="1:8" x14ac:dyDescent="0.3">
      <c r="A24" s="6">
        <v>2200018610210</v>
      </c>
      <c r="B24" s="6">
        <f t="shared" si="0"/>
        <v>1</v>
      </c>
      <c r="C24" s="19" t="s">
        <v>240</v>
      </c>
      <c r="D24" s="3" t="s">
        <v>276</v>
      </c>
      <c r="E24" s="19" t="str">
        <f>VLOOKUP(D24,'Org Setup'!A:B,2,0)</f>
        <v>IS (1)</v>
      </c>
      <c r="F24" s="23">
        <f>VLOOKUP(D24,'Org Setup'!A:D,4,0)</f>
        <v>5.0999999999999996</v>
      </c>
    </row>
    <row r="25" spans="1:8" x14ac:dyDescent="0.3">
      <c r="A25" s="6">
        <v>2200018525247</v>
      </c>
      <c r="B25" s="6">
        <f t="shared" si="0"/>
        <v>1</v>
      </c>
      <c r="C25" s="19" t="s">
        <v>240</v>
      </c>
      <c r="D25" s="3" t="s">
        <v>276</v>
      </c>
      <c r="E25" s="19" t="str">
        <f>VLOOKUP(D25,'Org Setup'!A:B,2,0)</f>
        <v>IS (1)</v>
      </c>
      <c r="F25" s="23">
        <f>VLOOKUP(D25,'Org Setup'!A:D,4,0)</f>
        <v>5.0999999999999996</v>
      </c>
    </row>
    <row r="26" spans="1:8" x14ac:dyDescent="0.3">
      <c r="A26" s="6">
        <v>2200018261992</v>
      </c>
      <c r="B26" s="6">
        <f t="shared" si="0"/>
        <v>1</v>
      </c>
      <c r="C26" s="19" t="s">
        <v>240</v>
      </c>
      <c r="D26" s="3" t="s">
        <v>293</v>
      </c>
      <c r="E26" s="19" t="str">
        <f>VLOOKUP(D26,'Org Setup'!A:B,2,0)</f>
        <v>ES</v>
      </c>
      <c r="F26" s="23">
        <f>VLOOKUP(D26,'Org Setup'!A:D,4,0)</f>
        <v>5.0999999999999996</v>
      </c>
    </row>
    <row r="27" spans="1:8" x14ac:dyDescent="0.3">
      <c r="A27" s="6">
        <v>2200017850818</v>
      </c>
      <c r="B27" s="6">
        <f t="shared" si="0"/>
        <v>1</v>
      </c>
      <c r="C27" s="19" t="s">
        <v>240</v>
      </c>
      <c r="D27" s="3" t="s">
        <v>293</v>
      </c>
      <c r="E27" s="19" t="str">
        <f>VLOOKUP(D27,'Org Setup'!A:B,2,0)</f>
        <v>ES</v>
      </c>
      <c r="F27" s="23">
        <f>VLOOKUP(D27,'Org Setup'!A:D,4,0)</f>
        <v>5.0999999999999996</v>
      </c>
    </row>
    <row r="28" spans="1:8" x14ac:dyDescent="0.3">
      <c r="A28" s="6">
        <v>2200017806891</v>
      </c>
      <c r="B28" s="6">
        <f t="shared" si="0"/>
        <v>1</v>
      </c>
      <c r="C28" s="19" t="s">
        <v>240</v>
      </c>
      <c r="D28" s="3" t="s">
        <v>276</v>
      </c>
      <c r="E28" s="19" t="str">
        <f>VLOOKUP(D28,'Org Setup'!A:B,2,0)</f>
        <v>IS (1)</v>
      </c>
      <c r="F28" s="23">
        <f>VLOOKUP(D28,'Org Setup'!A:D,4,0)</f>
        <v>5.0999999999999996</v>
      </c>
    </row>
    <row r="29" spans="1:8" x14ac:dyDescent="0.3">
      <c r="A29" s="6">
        <v>2200016368910</v>
      </c>
      <c r="B29" s="6">
        <f t="shared" si="0"/>
        <v>1</v>
      </c>
      <c r="C29" s="19" t="s">
        <v>240</v>
      </c>
      <c r="D29" s="3" t="s">
        <v>276</v>
      </c>
      <c r="E29" s="19" t="str">
        <f>VLOOKUP(D29,'Org Setup'!A:B,2,0)</f>
        <v>IS (1)</v>
      </c>
      <c r="F29" s="23">
        <f>VLOOKUP(D29,'Org Setup'!A:D,4,0)</f>
        <v>5.0999999999999996</v>
      </c>
      <c r="G29" s="36" t="s">
        <v>361</v>
      </c>
      <c r="H29" s="40" t="s">
        <v>362</v>
      </c>
    </row>
    <row r="30" spans="1:8" x14ac:dyDescent="0.3">
      <c r="A30" s="6">
        <v>2200016368895</v>
      </c>
      <c r="B30" s="6">
        <f t="shared" si="0"/>
        <v>1</v>
      </c>
      <c r="C30" s="19" t="s">
        <v>240</v>
      </c>
      <c r="D30" s="3" t="s">
        <v>293</v>
      </c>
      <c r="E30" s="19" t="str">
        <f>VLOOKUP(D30,'Org Setup'!A:B,2,0)</f>
        <v>ES</v>
      </c>
      <c r="F30" s="23">
        <f>VLOOKUP(D30,'Org Setup'!A:D,4,0)</f>
        <v>5.0999999999999996</v>
      </c>
    </row>
    <row r="31" spans="1:8" x14ac:dyDescent="0.3">
      <c r="A31" s="6">
        <v>2200015982762</v>
      </c>
      <c r="B31" s="6">
        <f t="shared" si="0"/>
        <v>1</v>
      </c>
      <c r="C31" s="19" t="s">
        <v>240</v>
      </c>
      <c r="D31" s="3" t="s">
        <v>276</v>
      </c>
      <c r="E31" s="19" t="str">
        <f>VLOOKUP(D31,'Org Setup'!A:B,2,0)</f>
        <v>IS (1)</v>
      </c>
      <c r="F31" s="23">
        <f>VLOOKUP(D31,'Org Setup'!A:D,4,0)</f>
        <v>5.0999999999999996</v>
      </c>
      <c r="G31" s="36" t="s">
        <v>344</v>
      </c>
      <c r="H31" s="40" t="s">
        <v>363</v>
      </c>
    </row>
    <row r="32" spans="1:8" x14ac:dyDescent="0.3">
      <c r="A32" s="6">
        <v>2200015982498</v>
      </c>
      <c r="B32" s="6">
        <f t="shared" si="0"/>
        <v>1</v>
      </c>
      <c r="C32" s="19" t="s">
        <v>240</v>
      </c>
      <c r="D32" s="3" t="s">
        <v>276</v>
      </c>
      <c r="E32" s="19" t="str">
        <f>VLOOKUP(D32,'Org Setup'!A:B,2,0)</f>
        <v>IS (1)</v>
      </c>
      <c r="F32" s="23">
        <f>VLOOKUP(D32,'Org Setup'!A:D,4,0)</f>
        <v>5.0999999999999996</v>
      </c>
    </row>
    <row r="33" spans="1:10" x14ac:dyDescent="0.3">
      <c r="A33" s="6">
        <v>2200014865245</v>
      </c>
      <c r="B33" s="6">
        <f t="shared" si="0"/>
        <v>1</v>
      </c>
      <c r="C33" s="19" t="s">
        <v>240</v>
      </c>
      <c r="D33" s="3" t="s">
        <v>276</v>
      </c>
      <c r="E33" s="19" t="str">
        <f>VLOOKUP(D33,'Org Setup'!A:B,2,0)</f>
        <v>IS (1)</v>
      </c>
      <c r="F33" s="23">
        <v>5.3</v>
      </c>
      <c r="G33" s="36" t="s">
        <v>364</v>
      </c>
      <c r="H33" s="40" t="s">
        <v>365</v>
      </c>
      <c r="I33" s="34" t="s">
        <v>366</v>
      </c>
    </row>
    <row r="34" spans="1:10" x14ac:dyDescent="0.3">
      <c r="A34" s="6">
        <v>2200014373954</v>
      </c>
      <c r="B34" s="6">
        <f t="shared" si="0"/>
        <v>1</v>
      </c>
      <c r="C34" s="19" t="s">
        <v>240</v>
      </c>
      <c r="D34" s="3" t="s">
        <v>276</v>
      </c>
      <c r="E34" s="19" t="str">
        <f>VLOOKUP(D34,'Org Setup'!A:B,2,0)</f>
        <v>IS (1)</v>
      </c>
      <c r="F34" s="23">
        <f>VLOOKUP(D34,'Org Setup'!A:D,4,0)</f>
        <v>5.0999999999999996</v>
      </c>
    </row>
    <row r="35" spans="1:10" x14ac:dyDescent="0.3">
      <c r="A35" s="6">
        <v>2200013654746</v>
      </c>
      <c r="B35" s="6">
        <f t="shared" si="0"/>
        <v>1</v>
      </c>
      <c r="C35" s="19" t="s">
        <v>240</v>
      </c>
      <c r="D35" s="3" t="s">
        <v>276</v>
      </c>
      <c r="E35" s="19" t="str">
        <f>VLOOKUP(D35,'Org Setup'!A:B,2,0)</f>
        <v>IS (1)</v>
      </c>
      <c r="F35" s="23">
        <f>VLOOKUP(D35,'Org Setup'!A:D,4,0)</f>
        <v>5.0999999999999996</v>
      </c>
    </row>
    <row r="36" spans="1:10" x14ac:dyDescent="0.3">
      <c r="A36" s="6">
        <v>2200013609390</v>
      </c>
      <c r="B36" s="6">
        <f t="shared" si="0"/>
        <v>1</v>
      </c>
      <c r="C36" s="19" t="s">
        <v>240</v>
      </c>
      <c r="D36" s="3" t="s">
        <v>276</v>
      </c>
      <c r="E36" s="19" t="str">
        <f>VLOOKUP(D36,'Org Setup'!A:B,2,0)</f>
        <v>IS (1)</v>
      </c>
      <c r="F36" s="23">
        <v>4</v>
      </c>
      <c r="G36" s="38" t="s">
        <v>367</v>
      </c>
      <c r="H36" s="39" t="s">
        <v>368</v>
      </c>
      <c r="I36" s="33" t="s">
        <v>369</v>
      </c>
      <c r="J36" s="33" t="s">
        <v>370</v>
      </c>
    </row>
    <row r="37" spans="1:10" x14ac:dyDescent="0.3">
      <c r="A37" s="6">
        <v>2200013580369</v>
      </c>
      <c r="B37" s="6">
        <f t="shared" si="0"/>
        <v>1</v>
      </c>
      <c r="C37" s="19" t="s">
        <v>240</v>
      </c>
      <c r="D37" s="3" t="s">
        <v>276</v>
      </c>
      <c r="E37" s="19" t="str">
        <f>VLOOKUP(D37,'Org Setup'!A:B,2,0)</f>
        <v>IS (1)</v>
      </c>
      <c r="F37" s="23">
        <f>VLOOKUP(D37,'Org Setup'!A:D,4,0)</f>
        <v>5.0999999999999996</v>
      </c>
    </row>
    <row r="38" spans="1:10" x14ac:dyDescent="0.3">
      <c r="A38" s="6">
        <v>2200012999851</v>
      </c>
      <c r="B38" s="6">
        <f t="shared" si="0"/>
        <v>1</v>
      </c>
      <c r="C38" s="19" t="s">
        <v>240</v>
      </c>
      <c r="D38" s="3" t="s">
        <v>276</v>
      </c>
      <c r="E38" s="19" t="str">
        <f>VLOOKUP(D38,'Org Setup'!A:B,2,0)</f>
        <v>IS (1)</v>
      </c>
      <c r="F38" s="23">
        <f>VLOOKUP(D38,'Org Setup'!A:D,4,0)</f>
        <v>5.0999999999999996</v>
      </c>
    </row>
    <row r="39" spans="1:10" x14ac:dyDescent="0.3">
      <c r="A39" s="6">
        <v>2200012654008</v>
      </c>
      <c r="B39" s="6">
        <f t="shared" si="0"/>
        <v>1</v>
      </c>
      <c r="C39" s="19" t="s">
        <v>240</v>
      </c>
      <c r="D39" s="3" t="s">
        <v>276</v>
      </c>
      <c r="E39" s="19" t="str">
        <f>VLOOKUP(D39,'Org Setup'!A:B,2,0)</f>
        <v>IS (1)</v>
      </c>
      <c r="F39" s="23">
        <f>VLOOKUP(D39,'Org Setup'!A:D,4,0)</f>
        <v>5.0999999999999996</v>
      </c>
    </row>
    <row r="40" spans="1:10" x14ac:dyDescent="0.3">
      <c r="A40" s="6">
        <v>2200011409163</v>
      </c>
      <c r="B40" s="6">
        <f t="shared" si="0"/>
        <v>1</v>
      </c>
      <c r="C40" s="19" t="s">
        <v>240</v>
      </c>
      <c r="D40" s="3" t="s">
        <v>276</v>
      </c>
      <c r="E40" s="19" t="str">
        <f>VLOOKUP(D40,'Org Setup'!A:B,2,0)</f>
        <v>IS (1)</v>
      </c>
      <c r="F40" s="23">
        <f>VLOOKUP(D40,'Org Setup'!A:D,4,0)</f>
        <v>5.0999999999999996</v>
      </c>
    </row>
    <row r="41" spans="1:10" x14ac:dyDescent="0.3">
      <c r="A41" s="6">
        <v>2200011333220</v>
      </c>
      <c r="B41" s="6">
        <f t="shared" si="0"/>
        <v>1</v>
      </c>
      <c r="C41" s="19" t="s">
        <v>240</v>
      </c>
      <c r="D41" s="3" t="s">
        <v>276</v>
      </c>
      <c r="E41" s="19" t="str">
        <f>VLOOKUP(D41,'Org Setup'!A:B,2,0)</f>
        <v>IS (1)</v>
      </c>
      <c r="F41" s="23">
        <f>VLOOKUP(D41,'Org Setup'!A:D,4,0)</f>
        <v>5.0999999999999996</v>
      </c>
    </row>
    <row r="42" spans="1:10" x14ac:dyDescent="0.3">
      <c r="A42" s="6">
        <v>2200011258441</v>
      </c>
      <c r="B42" s="6">
        <f t="shared" si="0"/>
        <v>1</v>
      </c>
      <c r="C42" s="19" t="s">
        <v>240</v>
      </c>
      <c r="D42" s="3" t="s">
        <v>276</v>
      </c>
      <c r="E42" s="19" t="str">
        <f>VLOOKUP(D42,'Org Setup'!A:B,2,0)</f>
        <v>IS (1)</v>
      </c>
      <c r="F42" s="23">
        <f>VLOOKUP(D42,'Org Setup'!A:D,4,0)</f>
        <v>5.0999999999999996</v>
      </c>
    </row>
    <row r="43" spans="1:10" x14ac:dyDescent="0.3">
      <c r="A43" s="6">
        <v>2199999297268</v>
      </c>
      <c r="B43" s="6">
        <f t="shared" si="0"/>
        <v>2</v>
      </c>
      <c r="C43" s="19" t="s">
        <v>240</v>
      </c>
      <c r="D43" s="3" t="s">
        <v>293</v>
      </c>
      <c r="E43" s="19" t="str">
        <f>VLOOKUP(D43,'Org Setup'!A:B,2,0)</f>
        <v>ES</v>
      </c>
      <c r="F43" s="23">
        <f>VLOOKUP(D43,'Org Setup'!A:D,4,0)</f>
        <v>5.0999999999999996</v>
      </c>
    </row>
    <row r="44" spans="1:10" x14ac:dyDescent="0.3">
      <c r="A44" s="6">
        <v>2199999297268</v>
      </c>
      <c r="B44" s="6">
        <f t="shared" si="0"/>
        <v>2</v>
      </c>
      <c r="C44" s="19" t="s">
        <v>163</v>
      </c>
      <c r="D44" s="16" t="s">
        <v>202</v>
      </c>
      <c r="E44" s="19" t="str">
        <f>VLOOKUP(D44,'Org Setup'!A:B,2,0)</f>
        <v>IS (1)</v>
      </c>
      <c r="F44" s="23">
        <f>VLOOKUP(D44,'Org Setup'!A:D,4,0)</f>
        <v>5.0999999999999996</v>
      </c>
      <c r="G44" s="9" t="s">
        <v>371</v>
      </c>
      <c r="H44" s="7" t="s">
        <v>372</v>
      </c>
    </row>
    <row r="45" spans="1:10" x14ac:dyDescent="0.3">
      <c r="A45" s="6">
        <v>2199993024155</v>
      </c>
      <c r="B45" s="6">
        <f t="shared" si="0"/>
        <v>1</v>
      </c>
      <c r="C45" s="19" t="s">
        <v>163</v>
      </c>
      <c r="D45" s="16" t="s">
        <v>202</v>
      </c>
      <c r="E45" s="19" t="str">
        <f>VLOOKUP(D45,'Org Setup'!A:B,2,0)</f>
        <v>IS (1)</v>
      </c>
      <c r="F45" s="23">
        <f>VLOOKUP(D45,'Org Setup'!A:D,4,0)</f>
        <v>5.0999999999999996</v>
      </c>
    </row>
    <row r="46" spans="1:10" x14ac:dyDescent="0.3">
      <c r="A46" s="6">
        <v>2199992990767</v>
      </c>
      <c r="B46" s="6">
        <f t="shared" si="0"/>
        <v>1</v>
      </c>
      <c r="C46" s="19" t="s">
        <v>163</v>
      </c>
      <c r="D46" s="16" t="s">
        <v>202</v>
      </c>
      <c r="E46" s="19" t="str">
        <f>VLOOKUP(D46,'Org Setup'!A:B,2,0)</f>
        <v>IS (1)</v>
      </c>
      <c r="F46" s="23">
        <f>VLOOKUP(D46,'Org Setup'!A:D,4,0)</f>
        <v>5.0999999999999996</v>
      </c>
    </row>
    <row r="47" spans="1:10" x14ac:dyDescent="0.3">
      <c r="A47" s="6">
        <v>2199992990590</v>
      </c>
      <c r="B47" s="6">
        <f t="shared" si="0"/>
        <v>1</v>
      </c>
      <c r="C47" s="19" t="s">
        <v>163</v>
      </c>
      <c r="D47" s="16" t="s">
        <v>202</v>
      </c>
      <c r="E47" s="19" t="str">
        <f>VLOOKUP(D47,'Org Setup'!A:B,2,0)</f>
        <v>IS (1)</v>
      </c>
      <c r="F47" s="23">
        <f>VLOOKUP(D47,'Org Setup'!A:D,4,0)</f>
        <v>5.0999999999999996</v>
      </c>
    </row>
    <row r="48" spans="1:10" x14ac:dyDescent="0.3">
      <c r="A48" s="6">
        <v>2199992990438</v>
      </c>
      <c r="B48" s="6">
        <f t="shared" si="0"/>
        <v>1</v>
      </c>
      <c r="C48" s="19" t="s">
        <v>163</v>
      </c>
      <c r="D48" s="16" t="s">
        <v>202</v>
      </c>
      <c r="E48" s="19" t="str">
        <f>VLOOKUP(D48,'Org Setup'!A:B,2,0)</f>
        <v>IS (1)</v>
      </c>
      <c r="F48" s="23">
        <f>VLOOKUP(D48,'Org Setup'!A:D,4,0)</f>
        <v>5.0999999999999996</v>
      </c>
    </row>
    <row r="49" spans="1:7" x14ac:dyDescent="0.3">
      <c r="A49" s="6">
        <v>2199990491623</v>
      </c>
      <c r="B49" s="6">
        <f t="shared" si="0"/>
        <v>1</v>
      </c>
      <c r="C49" s="19" t="s">
        <v>240</v>
      </c>
      <c r="D49" s="3" t="s">
        <v>276</v>
      </c>
      <c r="E49" s="19" t="str">
        <f>VLOOKUP(D49,'Org Setup'!A:B,2,0)</f>
        <v>IS (1)</v>
      </c>
      <c r="F49" s="23">
        <f>VLOOKUP(D49,'Org Setup'!A:D,4,0)</f>
        <v>5.0999999999999996</v>
      </c>
    </row>
    <row r="50" spans="1:7" x14ac:dyDescent="0.3">
      <c r="A50" s="6">
        <v>2199989320947</v>
      </c>
      <c r="B50" s="6">
        <f t="shared" si="0"/>
        <v>1</v>
      </c>
      <c r="C50" s="19" t="s">
        <v>240</v>
      </c>
      <c r="D50" s="3" t="s">
        <v>276</v>
      </c>
      <c r="E50" s="19" t="str">
        <f>VLOOKUP(D50,'Org Setup'!A:B,2,0)</f>
        <v>IS (1)</v>
      </c>
      <c r="F50" s="23">
        <f>VLOOKUP(D50,'Org Setup'!A:D,4,0)</f>
        <v>5.0999999999999996</v>
      </c>
    </row>
    <row r="51" spans="1:7" x14ac:dyDescent="0.3">
      <c r="A51" s="6">
        <v>2198765294240</v>
      </c>
      <c r="B51" s="6">
        <f t="shared" si="0"/>
        <v>1</v>
      </c>
      <c r="C51" s="19" t="s">
        <v>163</v>
      </c>
      <c r="D51" s="16" t="s">
        <v>202</v>
      </c>
      <c r="E51" s="19" t="str">
        <f>VLOOKUP(D51,'Org Setup'!A:B,2,0)</f>
        <v>IS (1)</v>
      </c>
      <c r="F51" s="23">
        <f>VLOOKUP(D51,'Org Setup'!A:D,4,0)</f>
        <v>5.0999999999999996</v>
      </c>
    </row>
    <row r="52" spans="1:7" x14ac:dyDescent="0.3">
      <c r="A52" s="6">
        <v>2000053455310</v>
      </c>
      <c r="B52" s="6">
        <f t="shared" si="0"/>
        <v>1</v>
      </c>
      <c r="C52" s="19" t="s">
        <v>163</v>
      </c>
      <c r="D52" s="16" t="s">
        <v>202</v>
      </c>
      <c r="E52" s="19" t="str">
        <f>VLOOKUP(D52,'Org Setup'!A:B,2,0)</f>
        <v>IS (1)</v>
      </c>
      <c r="F52" s="23">
        <f>VLOOKUP(D52,'Org Setup'!A:D,4,0)</f>
        <v>5.0999999999999996</v>
      </c>
    </row>
    <row r="53" spans="1:7" x14ac:dyDescent="0.3">
      <c r="A53" s="6">
        <v>2000053386535</v>
      </c>
      <c r="B53" s="6">
        <f t="shared" si="0"/>
        <v>1</v>
      </c>
      <c r="C53" s="19" t="s">
        <v>240</v>
      </c>
      <c r="D53" s="3" t="s">
        <v>293</v>
      </c>
      <c r="E53" s="19" t="str">
        <f>VLOOKUP(D53,'Org Setup'!A:B,2,0)</f>
        <v>ES</v>
      </c>
      <c r="F53" s="23">
        <f>VLOOKUP(D53,'Org Setup'!A:D,4,0)</f>
        <v>5.0999999999999996</v>
      </c>
    </row>
    <row r="54" spans="1:7" x14ac:dyDescent="0.3">
      <c r="A54" s="6">
        <v>2000053300236</v>
      </c>
      <c r="B54" s="6">
        <f t="shared" si="0"/>
        <v>2</v>
      </c>
      <c r="C54" s="19" t="s">
        <v>240</v>
      </c>
      <c r="D54" s="3" t="s">
        <v>293</v>
      </c>
      <c r="E54" s="19" t="str">
        <f>VLOOKUP(D54,'Org Setup'!A:B,2,0)</f>
        <v>ES</v>
      </c>
      <c r="F54" s="23">
        <f>VLOOKUP(D54,'Org Setup'!A:D,4,0)</f>
        <v>5.0999999999999996</v>
      </c>
    </row>
    <row r="55" spans="1:7" x14ac:dyDescent="0.3">
      <c r="A55" s="6">
        <v>2000053300236</v>
      </c>
      <c r="B55" s="6">
        <f t="shared" si="0"/>
        <v>2</v>
      </c>
      <c r="C55" s="19" t="s">
        <v>163</v>
      </c>
      <c r="D55" s="3" t="s">
        <v>209</v>
      </c>
      <c r="E55" s="19" t="str">
        <f>VLOOKUP(D55,'Org Setup'!A:B,2,0)</f>
        <v>ES</v>
      </c>
      <c r="F55" s="23">
        <f>VLOOKUP(D55,'Org Setup'!A:D,4,0)</f>
        <v>5.0999999999999996</v>
      </c>
      <c r="G55" s="9" t="s">
        <v>373</v>
      </c>
    </row>
    <row r="56" spans="1:7" x14ac:dyDescent="0.3">
      <c r="A56" s="6">
        <v>2000053290925</v>
      </c>
      <c r="B56" s="6">
        <f t="shared" si="0"/>
        <v>1</v>
      </c>
      <c r="C56" s="19" t="s">
        <v>240</v>
      </c>
      <c r="D56" s="3" t="s">
        <v>293</v>
      </c>
      <c r="E56" s="19" t="str">
        <f>VLOOKUP(D56,'Org Setup'!A:B,2,0)</f>
        <v>ES</v>
      </c>
      <c r="F56" s="23">
        <f>VLOOKUP(D56,'Org Setup'!A:D,4,0)</f>
        <v>5.0999999999999996</v>
      </c>
    </row>
    <row r="57" spans="1:7" x14ac:dyDescent="0.3">
      <c r="A57" s="6">
        <v>2000053267536</v>
      </c>
      <c r="B57" s="6">
        <f t="shared" si="0"/>
        <v>1</v>
      </c>
      <c r="C57" s="19" t="s">
        <v>240</v>
      </c>
      <c r="D57" s="3" t="s">
        <v>293</v>
      </c>
      <c r="E57" s="19" t="str">
        <f>VLOOKUP(D57,'Org Setup'!A:B,2,0)</f>
        <v>ES</v>
      </c>
      <c r="F57" s="23">
        <f>VLOOKUP(D57,'Org Setup'!A:D,4,0)</f>
        <v>5.0999999999999996</v>
      </c>
    </row>
    <row r="58" spans="1:7" x14ac:dyDescent="0.25">
      <c r="A58" s="6">
        <v>2000053267484</v>
      </c>
      <c r="B58" s="6">
        <f t="shared" si="0"/>
        <v>1</v>
      </c>
      <c r="C58" s="19" t="s">
        <v>163</v>
      </c>
      <c r="D58" s="3" t="s">
        <v>209</v>
      </c>
      <c r="E58" s="19" t="str">
        <f>VLOOKUP(D58,'Org Setup'!A:B,2,0)</f>
        <v>ES</v>
      </c>
      <c r="F58" s="23">
        <f>VLOOKUP(D58,'Org Setup'!A:D,4,0)</f>
        <v>5.0999999999999996</v>
      </c>
      <c r="G58" s="43" t="s">
        <v>374</v>
      </c>
    </row>
    <row r="59" spans="1:7" x14ac:dyDescent="0.3">
      <c r="A59" s="6">
        <v>2000053255390</v>
      </c>
      <c r="B59" s="6">
        <f t="shared" si="0"/>
        <v>2</v>
      </c>
      <c r="C59" s="19" t="s">
        <v>240</v>
      </c>
      <c r="D59" s="3" t="s">
        <v>293</v>
      </c>
      <c r="E59" s="19" t="str">
        <f>VLOOKUP(D59,'Org Setup'!A:B,2,0)</f>
        <v>ES</v>
      </c>
      <c r="F59" s="23">
        <f>VLOOKUP(D59,'Org Setup'!A:D,4,0)</f>
        <v>5.0999999999999996</v>
      </c>
    </row>
    <row r="60" spans="1:7" x14ac:dyDescent="0.3">
      <c r="A60" s="6">
        <v>2000053255390</v>
      </c>
      <c r="B60" s="6">
        <f t="shared" si="0"/>
        <v>2</v>
      </c>
      <c r="C60" s="19" t="s">
        <v>163</v>
      </c>
      <c r="D60" s="3" t="s">
        <v>209</v>
      </c>
      <c r="E60" s="19" t="str">
        <f>VLOOKUP(D60,'Org Setup'!A:B,2,0)</f>
        <v>ES</v>
      </c>
      <c r="F60" s="23">
        <f>VLOOKUP(D60,'Org Setup'!A:D,4,0)</f>
        <v>5.0999999999999996</v>
      </c>
    </row>
    <row r="61" spans="1:7" x14ac:dyDescent="0.3">
      <c r="A61" s="6">
        <v>2000053251768</v>
      </c>
      <c r="B61" s="6">
        <f t="shared" si="0"/>
        <v>1</v>
      </c>
      <c r="C61" s="19" t="s">
        <v>240</v>
      </c>
      <c r="D61" s="3" t="s">
        <v>293</v>
      </c>
      <c r="E61" s="19" t="str">
        <f>VLOOKUP(D61,'Org Setup'!A:B,2,0)</f>
        <v>ES</v>
      </c>
      <c r="F61" s="23">
        <f>VLOOKUP(D61,'Org Setup'!A:D,4,0)</f>
        <v>5.0999999999999996</v>
      </c>
    </row>
    <row r="62" spans="1:7" x14ac:dyDescent="0.3">
      <c r="A62" s="6">
        <v>2000053228954</v>
      </c>
      <c r="B62" s="6">
        <f t="shared" si="0"/>
        <v>1</v>
      </c>
      <c r="C62" s="19" t="s">
        <v>240</v>
      </c>
      <c r="D62" s="3" t="s">
        <v>293</v>
      </c>
      <c r="E62" s="19" t="str">
        <f>VLOOKUP(D62,'Org Setup'!A:B,2,0)</f>
        <v>ES</v>
      </c>
      <c r="F62" s="23">
        <f>VLOOKUP(D62,'Org Setup'!A:D,4,0)</f>
        <v>5.0999999999999996</v>
      </c>
    </row>
    <row r="63" spans="1:7" x14ac:dyDescent="0.3">
      <c r="A63" s="6">
        <v>2000053221903</v>
      </c>
      <c r="B63" s="6">
        <f t="shared" si="0"/>
        <v>1</v>
      </c>
      <c r="C63" s="19" t="s">
        <v>163</v>
      </c>
      <c r="D63" s="16" t="s">
        <v>202</v>
      </c>
      <c r="E63" s="19" t="str">
        <f>VLOOKUP(D63,'Org Setup'!A:B,2,0)</f>
        <v>IS (1)</v>
      </c>
      <c r="F63" s="23">
        <f>VLOOKUP(D63,'Org Setup'!A:D,4,0)</f>
        <v>5.0999999999999996</v>
      </c>
    </row>
    <row r="64" spans="1:7" x14ac:dyDescent="0.3">
      <c r="A64" s="6">
        <v>2000053211046</v>
      </c>
      <c r="B64" s="6">
        <f t="shared" si="0"/>
        <v>1</v>
      </c>
      <c r="C64" s="19" t="s">
        <v>240</v>
      </c>
      <c r="D64" s="3" t="s">
        <v>293</v>
      </c>
      <c r="E64" s="19" t="str">
        <f>VLOOKUP(D64,'Org Setup'!A:B,2,0)</f>
        <v>ES</v>
      </c>
      <c r="F64" s="23">
        <f>VLOOKUP(D64,'Org Setup'!A:D,4,0)</f>
        <v>5.0999999999999996</v>
      </c>
    </row>
    <row r="65" spans="1:6" x14ac:dyDescent="0.3">
      <c r="A65" s="6">
        <v>2000053137730</v>
      </c>
      <c r="B65" s="6">
        <f t="shared" si="0"/>
        <v>1</v>
      </c>
      <c r="C65" s="19" t="s">
        <v>240</v>
      </c>
      <c r="D65" s="3" t="s">
        <v>293</v>
      </c>
      <c r="E65" s="19" t="str">
        <f>VLOOKUP(D65,'Org Setup'!A:B,2,0)</f>
        <v>ES</v>
      </c>
      <c r="F65" s="23">
        <f>VLOOKUP(D65,'Org Setup'!A:D,4,0)</f>
        <v>5.0999999999999996</v>
      </c>
    </row>
    <row r="66" spans="1:6" x14ac:dyDescent="0.3">
      <c r="A66" s="6">
        <v>2000053104229</v>
      </c>
      <c r="B66" s="6">
        <f t="shared" si="0"/>
        <v>1</v>
      </c>
      <c r="C66" s="19" t="s">
        <v>240</v>
      </c>
      <c r="D66" s="3" t="s">
        <v>293</v>
      </c>
      <c r="E66" s="19" t="str">
        <f>VLOOKUP(D66,'Org Setup'!A:B,2,0)</f>
        <v>ES</v>
      </c>
      <c r="F66" s="23">
        <f>VLOOKUP(D66,'Org Setup'!A:D,4,0)</f>
        <v>5.0999999999999996</v>
      </c>
    </row>
    <row r="67" spans="1:6" x14ac:dyDescent="0.3">
      <c r="A67" s="6">
        <v>2000053075599</v>
      </c>
      <c r="B67" s="6">
        <f t="shared" ref="B67:B130" si="1">COUNTIF(A$2:A$411,A67)</f>
        <v>1</v>
      </c>
      <c r="C67" s="19" t="s">
        <v>240</v>
      </c>
      <c r="D67" s="3" t="s">
        <v>293</v>
      </c>
      <c r="E67" s="19" t="str">
        <f>VLOOKUP(D67,'Org Setup'!A:B,2,0)</f>
        <v>ES</v>
      </c>
      <c r="F67" s="23">
        <f>VLOOKUP(D67,'Org Setup'!A:D,4,0)</f>
        <v>5.0999999999999996</v>
      </c>
    </row>
    <row r="68" spans="1:6" x14ac:dyDescent="0.3">
      <c r="A68" s="6">
        <v>2000053063501</v>
      </c>
      <c r="B68" s="6">
        <f t="shared" si="1"/>
        <v>1</v>
      </c>
      <c r="C68" s="19" t="s">
        <v>240</v>
      </c>
      <c r="D68" s="3" t="s">
        <v>293</v>
      </c>
      <c r="E68" s="19" t="str">
        <f>VLOOKUP(D68,'Org Setup'!A:B,2,0)</f>
        <v>ES</v>
      </c>
      <c r="F68" s="23">
        <f>VLOOKUP(D68,'Org Setup'!A:D,4,0)</f>
        <v>5.0999999999999996</v>
      </c>
    </row>
    <row r="69" spans="1:6" x14ac:dyDescent="0.3">
      <c r="A69" s="6">
        <v>2000053061114</v>
      </c>
      <c r="B69" s="6">
        <f t="shared" si="1"/>
        <v>1</v>
      </c>
      <c r="C69" s="19" t="s">
        <v>240</v>
      </c>
      <c r="D69" s="3" t="s">
        <v>293</v>
      </c>
      <c r="E69" s="19" t="str">
        <f>VLOOKUP(D69,'Org Setup'!A:B,2,0)</f>
        <v>ES</v>
      </c>
      <c r="F69" s="23">
        <f>VLOOKUP(D69,'Org Setup'!A:D,4,0)</f>
        <v>5.0999999999999996</v>
      </c>
    </row>
    <row r="70" spans="1:6" x14ac:dyDescent="0.3">
      <c r="A70" s="6">
        <v>2000053035416</v>
      </c>
      <c r="B70" s="6">
        <f t="shared" si="1"/>
        <v>2</v>
      </c>
      <c r="C70" s="19" t="s">
        <v>240</v>
      </c>
      <c r="D70" s="3" t="s">
        <v>293</v>
      </c>
      <c r="E70" s="19" t="str">
        <f>VLOOKUP(D70,'Org Setup'!A:B,2,0)</f>
        <v>ES</v>
      </c>
      <c r="F70" s="23">
        <f>VLOOKUP(D70,'Org Setup'!A:D,4,0)</f>
        <v>5.0999999999999996</v>
      </c>
    </row>
    <row r="71" spans="1:6" x14ac:dyDescent="0.3">
      <c r="A71" s="6">
        <v>2000053035416</v>
      </c>
      <c r="B71" s="6">
        <f t="shared" si="1"/>
        <v>2</v>
      </c>
      <c r="C71" s="19" t="s">
        <v>163</v>
      </c>
      <c r="D71" s="3" t="s">
        <v>209</v>
      </c>
      <c r="E71" s="19" t="str">
        <f>VLOOKUP(D71,'Org Setup'!A:B,2,0)</f>
        <v>ES</v>
      </c>
      <c r="F71" s="23">
        <f>VLOOKUP(D71,'Org Setup'!A:D,4,0)</f>
        <v>5.0999999999999996</v>
      </c>
    </row>
    <row r="72" spans="1:6" x14ac:dyDescent="0.3">
      <c r="A72" s="6">
        <v>2000052816102</v>
      </c>
      <c r="B72" s="6">
        <f t="shared" si="1"/>
        <v>1</v>
      </c>
      <c r="C72" s="19" t="s">
        <v>240</v>
      </c>
      <c r="D72" s="3" t="s">
        <v>293</v>
      </c>
      <c r="E72" s="19" t="str">
        <f>VLOOKUP(D72,'Org Setup'!A:B,2,0)</f>
        <v>ES</v>
      </c>
      <c r="F72" s="23">
        <f>VLOOKUP(D72,'Org Setup'!A:D,4,0)</f>
        <v>5.0999999999999996</v>
      </c>
    </row>
    <row r="73" spans="1:6" x14ac:dyDescent="0.3">
      <c r="A73" s="6">
        <v>2000052795775</v>
      </c>
      <c r="B73" s="6">
        <f t="shared" si="1"/>
        <v>1</v>
      </c>
      <c r="C73" s="19" t="s">
        <v>240</v>
      </c>
      <c r="D73" s="3" t="s">
        <v>293</v>
      </c>
      <c r="E73" s="19" t="str">
        <f>VLOOKUP(D73,'Org Setup'!A:B,2,0)</f>
        <v>ES</v>
      </c>
      <c r="F73" s="23">
        <f>VLOOKUP(D73,'Org Setup'!A:D,4,0)</f>
        <v>5.0999999999999996</v>
      </c>
    </row>
    <row r="74" spans="1:6" x14ac:dyDescent="0.3">
      <c r="A74" s="6">
        <v>2000052776968</v>
      </c>
      <c r="B74" s="6">
        <f t="shared" si="1"/>
        <v>1</v>
      </c>
      <c r="C74" s="19" t="s">
        <v>240</v>
      </c>
      <c r="D74" s="3" t="s">
        <v>293</v>
      </c>
      <c r="E74" s="19" t="str">
        <f>VLOOKUP(D74,'Org Setup'!A:B,2,0)</f>
        <v>ES</v>
      </c>
      <c r="F74" s="23">
        <f>VLOOKUP(D74,'Org Setup'!A:D,4,0)</f>
        <v>5.0999999999999996</v>
      </c>
    </row>
    <row r="75" spans="1:6" x14ac:dyDescent="0.3">
      <c r="A75" s="6">
        <v>2000052776860</v>
      </c>
      <c r="B75" s="6">
        <f t="shared" si="1"/>
        <v>2</v>
      </c>
      <c r="C75" s="19" t="s">
        <v>240</v>
      </c>
      <c r="D75" s="3" t="s">
        <v>293</v>
      </c>
      <c r="E75" s="19" t="str">
        <f>VLOOKUP(D75,'Org Setup'!A:B,2,0)</f>
        <v>ES</v>
      </c>
      <c r="F75" s="23">
        <f>VLOOKUP(D75,'Org Setup'!A:D,4,0)</f>
        <v>5.0999999999999996</v>
      </c>
    </row>
    <row r="76" spans="1:6" x14ac:dyDescent="0.3">
      <c r="A76" s="6">
        <v>2000052776860</v>
      </c>
      <c r="B76" s="6">
        <f t="shared" si="1"/>
        <v>2</v>
      </c>
      <c r="C76" s="19" t="s">
        <v>163</v>
      </c>
      <c r="D76" s="16" t="s">
        <v>202</v>
      </c>
      <c r="E76" s="19" t="str">
        <f>VLOOKUP(D76,'Org Setup'!A:B,2,0)</f>
        <v>IS (1)</v>
      </c>
      <c r="F76" s="23">
        <f>VLOOKUP(D76,'Org Setup'!A:D,4,0)</f>
        <v>5.0999999999999996</v>
      </c>
    </row>
    <row r="77" spans="1:6" x14ac:dyDescent="0.3">
      <c r="A77" s="6">
        <v>2000052709711</v>
      </c>
      <c r="B77" s="6">
        <f t="shared" si="1"/>
        <v>1</v>
      </c>
      <c r="C77" s="19" t="s">
        <v>240</v>
      </c>
      <c r="D77" s="3" t="s">
        <v>293</v>
      </c>
      <c r="E77" s="19" t="str">
        <f>VLOOKUP(D77,'Org Setup'!A:B,2,0)</f>
        <v>ES</v>
      </c>
      <c r="F77" s="23">
        <f>VLOOKUP(D77,'Org Setup'!A:D,4,0)</f>
        <v>5.0999999999999996</v>
      </c>
    </row>
    <row r="78" spans="1:6" x14ac:dyDescent="0.3">
      <c r="A78" s="6">
        <v>2000052709242</v>
      </c>
      <c r="B78" s="6">
        <f t="shared" si="1"/>
        <v>1</v>
      </c>
      <c r="C78" s="19" t="s">
        <v>240</v>
      </c>
      <c r="D78" s="3" t="s">
        <v>293</v>
      </c>
      <c r="E78" s="19" t="str">
        <f>VLOOKUP(D78,'Org Setup'!A:B,2,0)</f>
        <v>ES</v>
      </c>
      <c r="F78" s="23">
        <f>VLOOKUP(D78,'Org Setup'!A:D,4,0)</f>
        <v>5.0999999999999996</v>
      </c>
    </row>
    <row r="79" spans="1:6" x14ac:dyDescent="0.3">
      <c r="A79" s="6">
        <v>2000052693735</v>
      </c>
      <c r="B79" s="6">
        <f t="shared" si="1"/>
        <v>1</v>
      </c>
      <c r="C79" s="19" t="s">
        <v>240</v>
      </c>
      <c r="D79" s="3" t="s">
        <v>293</v>
      </c>
      <c r="E79" s="19" t="str">
        <f>VLOOKUP(D79,'Org Setup'!A:B,2,0)</f>
        <v>ES</v>
      </c>
      <c r="F79" s="23">
        <f>VLOOKUP(D79,'Org Setup'!A:D,4,0)</f>
        <v>5.0999999999999996</v>
      </c>
    </row>
    <row r="80" spans="1:6" x14ac:dyDescent="0.3">
      <c r="A80" s="6">
        <v>2000052590524</v>
      </c>
      <c r="B80" s="6">
        <f t="shared" si="1"/>
        <v>2</v>
      </c>
      <c r="C80" s="19" t="s">
        <v>240</v>
      </c>
      <c r="D80" s="3" t="s">
        <v>293</v>
      </c>
      <c r="E80" s="19" t="str">
        <f>VLOOKUP(D80,'Org Setup'!A:B,2,0)</f>
        <v>ES</v>
      </c>
      <c r="F80" s="23">
        <f>VLOOKUP(D80,'Org Setup'!A:D,4,0)</f>
        <v>5.0999999999999996</v>
      </c>
    </row>
    <row r="81" spans="1:8" x14ac:dyDescent="0.3">
      <c r="A81" s="6">
        <v>2000052590524</v>
      </c>
      <c r="B81" s="6">
        <f t="shared" si="1"/>
        <v>2</v>
      </c>
      <c r="C81" s="19" t="s">
        <v>163</v>
      </c>
      <c r="D81" s="16" t="s">
        <v>202</v>
      </c>
      <c r="E81" s="19" t="str">
        <f>VLOOKUP(D81,'Org Setup'!A:B,2,0)</f>
        <v>IS (1)</v>
      </c>
      <c r="F81" s="23">
        <f>VLOOKUP(D81,'Org Setup'!A:D,4,0)</f>
        <v>5.0999999999999996</v>
      </c>
    </row>
    <row r="82" spans="1:8" x14ac:dyDescent="0.3">
      <c r="A82" s="6">
        <v>2000052523875</v>
      </c>
      <c r="B82" s="6">
        <f t="shared" si="1"/>
        <v>1</v>
      </c>
      <c r="C82" s="19" t="s">
        <v>240</v>
      </c>
      <c r="D82" s="3" t="s">
        <v>293</v>
      </c>
      <c r="E82" s="19" t="str">
        <f>VLOOKUP(D82,'Org Setup'!A:B,2,0)</f>
        <v>ES</v>
      </c>
      <c r="F82" s="23">
        <f>VLOOKUP(D82,'Org Setup'!A:D,4,0)</f>
        <v>5.0999999999999996</v>
      </c>
    </row>
    <row r="83" spans="1:8" x14ac:dyDescent="0.3">
      <c r="A83" s="6">
        <v>2000052449496</v>
      </c>
      <c r="B83" s="6">
        <f t="shared" si="1"/>
        <v>1</v>
      </c>
      <c r="C83" s="19" t="s">
        <v>240</v>
      </c>
      <c r="D83" s="3" t="s">
        <v>293</v>
      </c>
      <c r="E83" s="19" t="str">
        <f>VLOOKUP(D83,'Org Setup'!A:B,2,0)</f>
        <v>ES</v>
      </c>
      <c r="F83" s="23">
        <f>VLOOKUP(D83,'Org Setup'!A:D,4,0)</f>
        <v>5.0999999999999996</v>
      </c>
      <c r="G83" s="9" t="s">
        <v>375</v>
      </c>
    </row>
    <row r="84" spans="1:8" x14ac:dyDescent="0.3">
      <c r="A84" s="6">
        <v>2000052425306</v>
      </c>
      <c r="B84" s="6">
        <f t="shared" si="1"/>
        <v>1</v>
      </c>
      <c r="C84" s="19" t="s">
        <v>240</v>
      </c>
      <c r="D84" s="3" t="s">
        <v>293</v>
      </c>
      <c r="E84" s="19" t="str">
        <f>VLOOKUP(D84,'Org Setup'!A:B,2,0)</f>
        <v>ES</v>
      </c>
      <c r="F84" s="23">
        <f>VLOOKUP(D84,'Org Setup'!A:D,4,0)</f>
        <v>5.0999999999999996</v>
      </c>
    </row>
    <row r="85" spans="1:8" x14ac:dyDescent="0.3">
      <c r="A85" s="6">
        <v>2000052372833</v>
      </c>
      <c r="B85" s="6">
        <f t="shared" si="1"/>
        <v>1</v>
      </c>
      <c r="C85" s="19" t="s">
        <v>240</v>
      </c>
      <c r="D85" s="3" t="s">
        <v>293</v>
      </c>
      <c r="E85" s="19" t="str">
        <f>VLOOKUP(D85,'Org Setup'!A:B,2,0)</f>
        <v>ES</v>
      </c>
      <c r="F85" s="23">
        <f>VLOOKUP(D85,'Org Setup'!A:D,4,0)</f>
        <v>5.0999999999999996</v>
      </c>
    </row>
    <row r="86" spans="1:8" x14ac:dyDescent="0.3">
      <c r="A86" s="6">
        <v>2000052325940</v>
      </c>
      <c r="B86" s="6">
        <f t="shared" si="1"/>
        <v>1</v>
      </c>
      <c r="C86" s="19" t="s">
        <v>240</v>
      </c>
      <c r="D86" s="3" t="s">
        <v>293</v>
      </c>
      <c r="E86" s="19" t="str">
        <f>VLOOKUP(D86,'Org Setup'!A:B,2,0)</f>
        <v>ES</v>
      </c>
      <c r="F86" s="23">
        <f>VLOOKUP(D86,'Org Setup'!A:D,4,0)</f>
        <v>5.0999999999999996</v>
      </c>
    </row>
    <row r="87" spans="1:8" x14ac:dyDescent="0.3">
      <c r="A87" s="6">
        <v>2000052318279</v>
      </c>
      <c r="B87" s="6">
        <f t="shared" si="1"/>
        <v>2</v>
      </c>
      <c r="C87" s="19" t="s">
        <v>240</v>
      </c>
      <c r="D87" s="3" t="s">
        <v>293</v>
      </c>
      <c r="E87" s="19" t="str">
        <f>VLOOKUP(D87,'Org Setup'!A:B,2,0)</f>
        <v>ES</v>
      </c>
      <c r="F87" s="23">
        <f>VLOOKUP(D87,'Org Setup'!A:D,4,0)</f>
        <v>5.0999999999999996</v>
      </c>
    </row>
    <row r="88" spans="1:8" x14ac:dyDescent="0.3">
      <c r="A88" s="6">
        <v>2000052318279</v>
      </c>
      <c r="B88" s="6">
        <f t="shared" si="1"/>
        <v>2</v>
      </c>
      <c r="C88" s="19" t="s">
        <v>163</v>
      </c>
      <c r="D88" s="3" t="s">
        <v>209</v>
      </c>
      <c r="E88" s="19" t="str">
        <f>VLOOKUP(D88,'Org Setup'!A:B,2,0)</f>
        <v>ES</v>
      </c>
      <c r="F88" s="23">
        <f>VLOOKUP(D88,'Org Setup'!A:D,4,0)</f>
        <v>5.0999999999999996</v>
      </c>
    </row>
    <row r="89" spans="1:8" x14ac:dyDescent="0.3">
      <c r="A89" s="6">
        <v>2000052221122</v>
      </c>
      <c r="B89" s="6">
        <f t="shared" si="1"/>
        <v>1</v>
      </c>
      <c r="C89" s="19" t="s">
        <v>163</v>
      </c>
      <c r="D89" s="16" t="s">
        <v>202</v>
      </c>
      <c r="E89" s="19" t="str">
        <f>VLOOKUP(D89,'Org Setup'!A:B,2,0)</f>
        <v>IS (1)</v>
      </c>
      <c r="F89" s="23">
        <f>VLOOKUP(D89,'Org Setup'!A:D,4,0)</f>
        <v>5.0999999999999996</v>
      </c>
    </row>
    <row r="90" spans="1:8" x14ac:dyDescent="0.3">
      <c r="A90" s="6">
        <v>2000052156607</v>
      </c>
      <c r="B90" s="6">
        <f t="shared" si="1"/>
        <v>1</v>
      </c>
      <c r="C90" s="19" t="s">
        <v>163</v>
      </c>
      <c r="D90" s="3" t="s">
        <v>209</v>
      </c>
      <c r="E90" s="19" t="str">
        <f>VLOOKUP(D90,'Org Setup'!A:B,2,0)</f>
        <v>ES</v>
      </c>
      <c r="F90" s="23">
        <f>VLOOKUP(D90,'Org Setup'!A:D,4,0)</f>
        <v>5.0999999999999996</v>
      </c>
    </row>
    <row r="91" spans="1:8" x14ac:dyDescent="0.3">
      <c r="A91" s="6">
        <v>2000052109652</v>
      </c>
      <c r="B91" s="6">
        <f t="shared" si="1"/>
        <v>1</v>
      </c>
      <c r="C91" s="19" t="s">
        <v>163</v>
      </c>
      <c r="D91" s="16" t="s">
        <v>202</v>
      </c>
      <c r="E91" s="19" t="str">
        <f>VLOOKUP(D91,'Org Setup'!A:B,2,0)</f>
        <v>IS (1)</v>
      </c>
      <c r="F91" s="23">
        <f>VLOOKUP(D91,'Org Setup'!A:D,4,0)</f>
        <v>5.0999999999999996</v>
      </c>
    </row>
    <row r="92" spans="1:8" x14ac:dyDescent="0.3">
      <c r="A92" s="6">
        <v>2000052085912</v>
      </c>
      <c r="B92" s="6">
        <f t="shared" si="1"/>
        <v>1</v>
      </c>
      <c r="C92" s="19" t="s">
        <v>163</v>
      </c>
      <c r="D92" s="16" t="s">
        <v>202</v>
      </c>
      <c r="E92" s="19" t="str">
        <f>VLOOKUP(D92,'Org Setup'!A:B,2,0)</f>
        <v>IS (1)</v>
      </c>
      <c r="F92" s="23">
        <f>VLOOKUP(D92,'Org Setup'!A:D,4,0)</f>
        <v>5.0999999999999996</v>
      </c>
    </row>
    <row r="93" spans="1:8" x14ac:dyDescent="0.3">
      <c r="A93" s="6">
        <v>2000052014753</v>
      </c>
      <c r="B93" s="6">
        <f t="shared" si="1"/>
        <v>1</v>
      </c>
      <c r="C93" s="19" t="s">
        <v>163</v>
      </c>
      <c r="D93" s="3" t="s">
        <v>209</v>
      </c>
      <c r="E93" s="19" t="str">
        <f>VLOOKUP(D93,'Org Setup'!A:B,2,0)</f>
        <v>ES</v>
      </c>
      <c r="F93" s="23">
        <f>VLOOKUP(D93,'Org Setup'!A:D,4,0)</f>
        <v>5.0999999999999996</v>
      </c>
    </row>
    <row r="94" spans="1:8" x14ac:dyDescent="0.3">
      <c r="A94" s="6">
        <v>2000051970452</v>
      </c>
      <c r="B94" s="6">
        <f t="shared" si="1"/>
        <v>1</v>
      </c>
      <c r="C94" s="19" t="s">
        <v>163</v>
      </c>
      <c r="D94" s="3" t="s">
        <v>209</v>
      </c>
      <c r="E94" s="19" t="str">
        <f>VLOOKUP(D94,'Org Setup'!A:B,2,0)</f>
        <v>ES</v>
      </c>
      <c r="F94" s="23">
        <f>VLOOKUP(D94,'Org Setup'!A:D,4,0)</f>
        <v>5.0999999999999996</v>
      </c>
      <c r="G94" s="9" t="s">
        <v>371</v>
      </c>
      <c r="H94" s="9" t="s">
        <v>372</v>
      </c>
    </row>
    <row r="95" spans="1:8" x14ac:dyDescent="0.3">
      <c r="A95" s="6">
        <v>2000051803575</v>
      </c>
      <c r="B95" s="6">
        <f t="shared" si="1"/>
        <v>1</v>
      </c>
      <c r="C95" s="19" t="s">
        <v>163</v>
      </c>
      <c r="D95" s="3" t="s">
        <v>209</v>
      </c>
      <c r="E95" s="19" t="str">
        <f>VLOOKUP(D95,'Org Setup'!A:B,2,0)</f>
        <v>ES</v>
      </c>
      <c r="F95" s="23">
        <f>VLOOKUP(D95,'Org Setup'!A:D,4,0)</f>
        <v>5.0999999999999996</v>
      </c>
    </row>
    <row r="96" spans="1:8" x14ac:dyDescent="0.3">
      <c r="A96" s="6">
        <v>2000051801373</v>
      </c>
      <c r="B96" s="6">
        <f t="shared" si="1"/>
        <v>1</v>
      </c>
      <c r="C96" s="19" t="s">
        <v>163</v>
      </c>
      <c r="D96" s="3" t="s">
        <v>209</v>
      </c>
      <c r="E96" s="19" t="str">
        <f>VLOOKUP(D96,'Org Setup'!A:B,2,0)</f>
        <v>ES</v>
      </c>
      <c r="F96" s="23">
        <f>VLOOKUP(D96,'Org Setup'!A:D,4,0)</f>
        <v>5.0999999999999996</v>
      </c>
    </row>
    <row r="97" spans="1:7" x14ac:dyDescent="0.3">
      <c r="A97" s="6">
        <v>2000051738010</v>
      </c>
      <c r="B97" s="6">
        <f t="shared" si="1"/>
        <v>1</v>
      </c>
      <c r="C97" s="19" t="s">
        <v>163</v>
      </c>
      <c r="D97" s="3" t="s">
        <v>209</v>
      </c>
      <c r="E97" s="19" t="str">
        <f>VLOOKUP(D97,'Org Setup'!A:B,2,0)</f>
        <v>ES</v>
      </c>
      <c r="F97" s="23">
        <f>VLOOKUP(D97,'Org Setup'!A:D,4,0)</f>
        <v>5.0999999999999996</v>
      </c>
    </row>
    <row r="98" spans="1:7" x14ac:dyDescent="0.3">
      <c r="A98" s="6">
        <v>2000051721080</v>
      </c>
      <c r="B98" s="6">
        <f t="shared" si="1"/>
        <v>1</v>
      </c>
      <c r="C98" s="19" t="s">
        <v>163</v>
      </c>
      <c r="D98" s="3" t="s">
        <v>209</v>
      </c>
      <c r="E98" s="19" t="str">
        <f>VLOOKUP(D98,'Org Setup'!A:B,2,0)</f>
        <v>ES</v>
      </c>
      <c r="F98" s="23">
        <f>VLOOKUP(D98,'Org Setup'!A:D,4,0)</f>
        <v>5.0999999999999996</v>
      </c>
    </row>
    <row r="99" spans="1:7" x14ac:dyDescent="0.3">
      <c r="A99" s="6">
        <v>2000051707305</v>
      </c>
      <c r="B99" s="6">
        <f t="shared" si="1"/>
        <v>1</v>
      </c>
      <c r="C99" s="19" t="s">
        <v>163</v>
      </c>
      <c r="D99" s="16" t="s">
        <v>202</v>
      </c>
      <c r="E99" s="19" t="str">
        <f>VLOOKUP(D99,'Org Setup'!A:B,2,0)</f>
        <v>IS (1)</v>
      </c>
      <c r="F99" s="23">
        <f>VLOOKUP(D99,'Org Setup'!A:D,4,0)</f>
        <v>5.0999999999999996</v>
      </c>
    </row>
    <row r="100" spans="1:7" x14ac:dyDescent="0.3">
      <c r="A100" s="6">
        <v>2000051231937</v>
      </c>
      <c r="B100" s="6">
        <f t="shared" si="1"/>
        <v>1</v>
      </c>
      <c r="C100" s="19" t="s">
        <v>163</v>
      </c>
      <c r="D100" s="3" t="s">
        <v>209</v>
      </c>
      <c r="E100" s="19" t="str">
        <f>VLOOKUP(D100,'Org Setup'!A:B,2,0)</f>
        <v>ES</v>
      </c>
      <c r="F100" s="23">
        <f>VLOOKUP(D100,'Org Setup'!A:D,4,0)</f>
        <v>5.0999999999999996</v>
      </c>
    </row>
    <row r="101" spans="1:7" x14ac:dyDescent="0.3">
      <c r="A101" s="6">
        <v>2000050669261</v>
      </c>
      <c r="B101" s="6">
        <f t="shared" si="1"/>
        <v>1</v>
      </c>
      <c r="C101" s="19" t="s">
        <v>163</v>
      </c>
      <c r="D101" s="3" t="s">
        <v>209</v>
      </c>
      <c r="E101" s="19" t="str">
        <f>VLOOKUP(D101,'Org Setup'!A:B,2,0)</f>
        <v>ES</v>
      </c>
      <c r="F101" s="23">
        <f>VLOOKUP(D101,'Org Setup'!A:D,4,0)</f>
        <v>5.0999999999999996</v>
      </c>
    </row>
    <row r="102" spans="1:7" x14ac:dyDescent="0.3">
      <c r="A102" s="6">
        <v>2000050412500</v>
      </c>
      <c r="B102" s="6">
        <f t="shared" si="1"/>
        <v>1</v>
      </c>
      <c r="C102" s="19" t="s">
        <v>163</v>
      </c>
      <c r="D102" s="16" t="s">
        <v>202</v>
      </c>
      <c r="E102" s="19" t="str">
        <f>VLOOKUP(D102,'Org Setup'!A:B,2,0)</f>
        <v>IS (1)</v>
      </c>
      <c r="F102" s="23">
        <f>VLOOKUP(D102,'Org Setup'!A:D,4,0)</f>
        <v>5.0999999999999996</v>
      </c>
    </row>
    <row r="103" spans="1:7" x14ac:dyDescent="0.3">
      <c r="A103" s="6">
        <v>2000050030665</v>
      </c>
      <c r="B103" s="6">
        <f t="shared" si="1"/>
        <v>1</v>
      </c>
      <c r="C103" s="19" t="s">
        <v>163</v>
      </c>
      <c r="D103" s="3" t="s">
        <v>209</v>
      </c>
      <c r="E103" s="19" t="str">
        <f>VLOOKUP(D103,'Org Setup'!A:B,2,0)</f>
        <v>ES</v>
      </c>
      <c r="F103" s="23">
        <f>VLOOKUP(D103,'Org Setup'!A:D,4,0)</f>
        <v>5.0999999999999996</v>
      </c>
    </row>
    <row r="104" spans="1:7" x14ac:dyDescent="0.3">
      <c r="A104" s="6">
        <v>2000023790447</v>
      </c>
      <c r="B104" s="6">
        <f t="shared" si="1"/>
        <v>1</v>
      </c>
      <c r="C104" s="19" t="s">
        <v>163</v>
      </c>
      <c r="D104" s="3" t="s">
        <v>209</v>
      </c>
      <c r="E104" s="19" t="str">
        <f>VLOOKUP(D104,'Org Setup'!A:B,2,0)</f>
        <v>ES</v>
      </c>
      <c r="F104" s="23">
        <f>VLOOKUP(D104,'Org Setup'!A:D,4,0)</f>
        <v>5.0999999999999996</v>
      </c>
    </row>
    <row r="105" spans="1:7" x14ac:dyDescent="0.3">
      <c r="A105" s="6">
        <v>2000023658650</v>
      </c>
      <c r="B105" s="6">
        <f t="shared" si="1"/>
        <v>1</v>
      </c>
      <c r="C105" s="19" t="s">
        <v>163</v>
      </c>
      <c r="D105" s="3" t="s">
        <v>209</v>
      </c>
      <c r="E105" s="19" t="str">
        <f>VLOOKUP(D105,'Org Setup'!A:B,2,0)</f>
        <v>ES</v>
      </c>
      <c r="F105" s="23">
        <f>VLOOKUP(D105,'Org Setup'!A:D,4,0)</f>
        <v>5.0999999999999996</v>
      </c>
    </row>
    <row r="106" spans="1:7" x14ac:dyDescent="0.3">
      <c r="A106" s="6">
        <v>2000023534218</v>
      </c>
      <c r="B106" s="6">
        <f t="shared" si="1"/>
        <v>1</v>
      </c>
      <c r="C106" s="19" t="s">
        <v>163</v>
      </c>
      <c r="D106" s="3" t="s">
        <v>209</v>
      </c>
      <c r="E106" s="19" t="str">
        <f>VLOOKUP(D106,'Org Setup'!A:B,2,0)</f>
        <v>ES</v>
      </c>
      <c r="F106" s="23">
        <f>VLOOKUP(D106,'Org Setup'!A:D,4,0)</f>
        <v>5.0999999999999996</v>
      </c>
    </row>
    <row r="107" spans="1:7" x14ac:dyDescent="0.3">
      <c r="A107" s="6">
        <v>2000023464703</v>
      </c>
      <c r="B107" s="6">
        <f t="shared" si="1"/>
        <v>1</v>
      </c>
      <c r="C107" s="19" t="s">
        <v>163</v>
      </c>
      <c r="D107" s="16" t="s">
        <v>202</v>
      </c>
      <c r="E107" s="19" t="str">
        <f>VLOOKUP(D107,'Org Setup'!A:B,2,0)</f>
        <v>IS (1)</v>
      </c>
      <c r="F107" s="23">
        <f>VLOOKUP(D107,'Org Setup'!A:D,4,0)</f>
        <v>5.0999999999999996</v>
      </c>
      <c r="G107" s="9" t="s">
        <v>376</v>
      </c>
    </row>
    <row r="108" spans="1:7" x14ac:dyDescent="0.3">
      <c r="A108" s="6">
        <v>2000023457992</v>
      </c>
      <c r="B108" s="6">
        <f t="shared" si="1"/>
        <v>1</v>
      </c>
      <c r="C108" s="19" t="s">
        <v>163</v>
      </c>
      <c r="D108" s="16" t="s">
        <v>202</v>
      </c>
      <c r="E108" s="19" t="str">
        <f>VLOOKUP(D108,'Org Setup'!A:B,2,0)</f>
        <v>IS (1)</v>
      </c>
      <c r="F108" s="23">
        <f>VLOOKUP(D108,'Org Setup'!A:D,4,0)</f>
        <v>5.0999999999999996</v>
      </c>
    </row>
    <row r="109" spans="1:7" x14ac:dyDescent="0.3">
      <c r="A109" s="6">
        <v>2000023390450</v>
      </c>
      <c r="B109" s="6">
        <f t="shared" si="1"/>
        <v>1</v>
      </c>
      <c r="C109" s="19" t="s">
        <v>163</v>
      </c>
      <c r="D109" s="16" t="s">
        <v>202</v>
      </c>
      <c r="E109" s="19" t="str">
        <f>VLOOKUP(D109,'Org Setup'!A:B,2,0)</f>
        <v>IS (1)</v>
      </c>
      <c r="F109" s="23">
        <f>VLOOKUP(D109,'Org Setup'!A:D,4,0)</f>
        <v>5.0999999999999996</v>
      </c>
    </row>
    <row r="110" spans="1:7" x14ac:dyDescent="0.3">
      <c r="A110" s="6">
        <v>2000023323668</v>
      </c>
      <c r="B110" s="6">
        <f t="shared" si="1"/>
        <v>1</v>
      </c>
      <c r="C110" s="19" t="s">
        <v>163</v>
      </c>
      <c r="D110" s="3" t="s">
        <v>209</v>
      </c>
      <c r="E110" s="19" t="str">
        <f>VLOOKUP(D110,'Org Setup'!A:B,2,0)</f>
        <v>ES</v>
      </c>
      <c r="F110" s="23">
        <f>VLOOKUP(D110,'Org Setup'!A:D,4,0)</f>
        <v>5.0999999999999996</v>
      </c>
    </row>
    <row r="111" spans="1:7" x14ac:dyDescent="0.3">
      <c r="A111" s="6">
        <v>2000022931328</v>
      </c>
      <c r="B111" s="6">
        <f t="shared" si="1"/>
        <v>1</v>
      </c>
      <c r="C111" s="19" t="s">
        <v>163</v>
      </c>
      <c r="D111" s="16" t="s">
        <v>202</v>
      </c>
      <c r="E111" s="19" t="str">
        <f>VLOOKUP(D111,'Org Setup'!A:B,2,0)</f>
        <v>IS (1)</v>
      </c>
      <c r="F111" s="23">
        <f>VLOOKUP(D111,'Org Setup'!A:D,4,0)</f>
        <v>5.0999999999999996</v>
      </c>
    </row>
    <row r="112" spans="1:7" x14ac:dyDescent="0.3">
      <c r="A112" s="6">
        <v>2000022632410</v>
      </c>
      <c r="B112" s="6">
        <f t="shared" si="1"/>
        <v>1</v>
      </c>
      <c r="C112" s="19" t="s">
        <v>163</v>
      </c>
      <c r="D112" s="3" t="s">
        <v>209</v>
      </c>
      <c r="E112" s="19" t="str">
        <f>VLOOKUP(D112,'Org Setup'!A:B,2,0)</f>
        <v>ES</v>
      </c>
      <c r="F112" s="23">
        <f>VLOOKUP(D112,'Org Setup'!A:D,4,0)</f>
        <v>5.0999999999999996</v>
      </c>
    </row>
    <row r="113" spans="1:6" x14ac:dyDescent="0.3">
      <c r="A113" s="6">
        <v>2000022620805</v>
      </c>
      <c r="B113" s="6">
        <f t="shared" si="1"/>
        <v>1</v>
      </c>
      <c r="C113" s="19" t="s">
        <v>163</v>
      </c>
      <c r="D113" s="3" t="s">
        <v>209</v>
      </c>
      <c r="E113" s="19" t="str">
        <f>VLOOKUP(D113,'Org Setup'!A:B,2,0)</f>
        <v>ES</v>
      </c>
      <c r="F113" s="23">
        <f>VLOOKUP(D113,'Org Setup'!A:D,4,0)</f>
        <v>5.0999999999999996</v>
      </c>
    </row>
    <row r="114" spans="1:6" x14ac:dyDescent="0.3">
      <c r="A114" s="6">
        <v>2000022339240</v>
      </c>
      <c r="B114" s="6">
        <f t="shared" si="1"/>
        <v>1</v>
      </c>
      <c r="C114" s="19" t="s">
        <v>163</v>
      </c>
      <c r="D114" s="16" t="s">
        <v>202</v>
      </c>
      <c r="E114" s="19" t="str">
        <f>VLOOKUP(D114,'Org Setup'!A:B,2,0)</f>
        <v>IS (1)</v>
      </c>
      <c r="F114" s="23">
        <f>VLOOKUP(D114,'Org Setup'!A:D,4,0)</f>
        <v>5.0999999999999996</v>
      </c>
    </row>
    <row r="115" spans="1:6" x14ac:dyDescent="0.3">
      <c r="A115" s="6">
        <v>2000021728172</v>
      </c>
      <c r="B115" s="6">
        <f t="shared" si="1"/>
        <v>1</v>
      </c>
      <c r="C115" s="19" t="s">
        <v>163</v>
      </c>
      <c r="D115" s="16" t="s">
        <v>202</v>
      </c>
      <c r="E115" s="19" t="str">
        <f>VLOOKUP(D115,'Org Setup'!A:B,2,0)</f>
        <v>IS (1)</v>
      </c>
      <c r="F115" s="23">
        <f>VLOOKUP(D115,'Org Setup'!A:D,4,0)</f>
        <v>5.0999999999999996</v>
      </c>
    </row>
    <row r="116" spans="1:6" x14ac:dyDescent="0.3">
      <c r="A116" s="6">
        <v>2000021208537</v>
      </c>
      <c r="B116" s="6">
        <f t="shared" si="1"/>
        <v>1</v>
      </c>
      <c r="C116" s="19" t="s">
        <v>163</v>
      </c>
      <c r="D116" s="3" t="s">
        <v>209</v>
      </c>
      <c r="E116" s="19" t="str">
        <f>VLOOKUP(D116,'Org Setup'!A:B,2,0)</f>
        <v>ES</v>
      </c>
      <c r="F116" s="23">
        <f>VLOOKUP(D116,'Org Setup'!A:D,4,0)</f>
        <v>5.0999999999999996</v>
      </c>
    </row>
    <row r="117" spans="1:6" x14ac:dyDescent="0.3">
      <c r="A117" s="6">
        <v>2000020700672</v>
      </c>
      <c r="B117" s="6">
        <f t="shared" si="1"/>
        <v>1</v>
      </c>
      <c r="C117" s="19" t="s">
        <v>163</v>
      </c>
      <c r="D117" s="16" t="s">
        <v>202</v>
      </c>
      <c r="E117" s="19" t="str">
        <f>VLOOKUP(D117,'Org Setup'!A:B,2,0)</f>
        <v>IS (1)</v>
      </c>
      <c r="F117" s="23">
        <f>VLOOKUP(D117,'Org Setup'!A:D,4,0)</f>
        <v>5.0999999999999996</v>
      </c>
    </row>
    <row r="118" spans="1:6" x14ac:dyDescent="0.3">
      <c r="A118" s="6">
        <v>2000020509120</v>
      </c>
      <c r="B118" s="6">
        <f t="shared" si="1"/>
        <v>1</v>
      </c>
      <c r="C118" s="19" t="s">
        <v>163</v>
      </c>
      <c r="D118" s="16" t="s">
        <v>202</v>
      </c>
      <c r="E118" s="19" t="str">
        <f>VLOOKUP(D118,'Org Setup'!A:B,2,0)</f>
        <v>IS (1)</v>
      </c>
      <c r="F118" s="23">
        <f>VLOOKUP(D118,'Org Setup'!A:D,4,0)</f>
        <v>5.0999999999999996</v>
      </c>
    </row>
    <row r="119" spans="1:6" x14ac:dyDescent="0.3">
      <c r="A119" s="6">
        <v>2000020010160</v>
      </c>
      <c r="B119" s="6">
        <f t="shared" si="1"/>
        <v>1</v>
      </c>
      <c r="C119" s="19" t="s">
        <v>163</v>
      </c>
      <c r="D119" s="16" t="s">
        <v>202</v>
      </c>
      <c r="E119" s="19" t="str">
        <f>VLOOKUP(D119,'Org Setup'!A:B,2,0)</f>
        <v>IS (1)</v>
      </c>
      <c r="F119" s="23">
        <f>VLOOKUP(D119,'Org Setup'!A:D,4,0)</f>
        <v>5.0999999999999996</v>
      </c>
    </row>
    <row r="120" spans="1:6" x14ac:dyDescent="0.3">
      <c r="A120" s="6">
        <v>2000019613658</v>
      </c>
      <c r="B120" s="6">
        <f t="shared" si="1"/>
        <v>1</v>
      </c>
      <c r="C120" s="19" t="s">
        <v>163</v>
      </c>
      <c r="D120" s="16" t="s">
        <v>202</v>
      </c>
      <c r="E120" s="19" t="str">
        <f>VLOOKUP(D120,'Org Setup'!A:B,2,0)</f>
        <v>IS (1)</v>
      </c>
      <c r="F120" s="23">
        <f>VLOOKUP(D120,'Org Setup'!A:D,4,0)</f>
        <v>5.0999999999999996</v>
      </c>
    </row>
    <row r="121" spans="1:6" x14ac:dyDescent="0.3">
      <c r="A121" s="6">
        <v>2000019074271</v>
      </c>
      <c r="B121" s="6">
        <f t="shared" si="1"/>
        <v>1</v>
      </c>
      <c r="C121" s="19" t="s">
        <v>163</v>
      </c>
      <c r="D121" s="16" t="s">
        <v>202</v>
      </c>
      <c r="E121" s="19" t="str">
        <f>VLOOKUP(D121,'Org Setup'!A:B,2,0)</f>
        <v>IS (1)</v>
      </c>
      <c r="F121" s="23">
        <f>VLOOKUP(D121,'Org Setup'!A:D,4,0)</f>
        <v>5.0999999999999996</v>
      </c>
    </row>
    <row r="122" spans="1:6" x14ac:dyDescent="0.3">
      <c r="A122" s="6">
        <v>2000018766957</v>
      </c>
      <c r="B122" s="6">
        <f t="shared" si="1"/>
        <v>1</v>
      </c>
      <c r="C122" s="19" t="s">
        <v>163</v>
      </c>
      <c r="D122" s="3" t="s">
        <v>209</v>
      </c>
      <c r="E122" s="19" t="str">
        <f>VLOOKUP(D122,'Org Setup'!A:B,2,0)</f>
        <v>ES</v>
      </c>
      <c r="F122" s="23">
        <f>VLOOKUP(D122,'Org Setup'!A:D,4,0)</f>
        <v>5.0999999999999996</v>
      </c>
    </row>
    <row r="123" spans="1:6" x14ac:dyDescent="0.3">
      <c r="A123" s="6">
        <v>2000018169374</v>
      </c>
      <c r="B123" s="6">
        <f t="shared" si="1"/>
        <v>1</v>
      </c>
      <c r="C123" s="19" t="s">
        <v>163</v>
      </c>
      <c r="D123" s="16" t="s">
        <v>202</v>
      </c>
      <c r="E123" s="19" t="str">
        <f>VLOOKUP(D123,'Org Setup'!A:B,2,0)</f>
        <v>IS (1)</v>
      </c>
      <c r="F123" s="23">
        <f>VLOOKUP(D123,'Org Setup'!A:D,4,0)</f>
        <v>5.0999999999999996</v>
      </c>
    </row>
    <row r="124" spans="1:6" x14ac:dyDescent="0.3">
      <c r="A124" s="6">
        <v>2000018125321</v>
      </c>
      <c r="B124" s="6">
        <f t="shared" si="1"/>
        <v>1</v>
      </c>
      <c r="C124" s="19" t="s">
        <v>163</v>
      </c>
      <c r="D124" s="3" t="s">
        <v>209</v>
      </c>
      <c r="E124" s="19" t="str">
        <f>VLOOKUP(D124,'Org Setup'!A:B,2,0)</f>
        <v>ES</v>
      </c>
      <c r="F124" s="23">
        <f>VLOOKUP(D124,'Org Setup'!A:D,4,0)</f>
        <v>5.0999999999999996</v>
      </c>
    </row>
    <row r="125" spans="1:6" x14ac:dyDescent="0.3">
      <c r="A125" s="6">
        <v>2000017948212</v>
      </c>
      <c r="B125" s="6">
        <f t="shared" si="1"/>
        <v>1</v>
      </c>
      <c r="C125" s="19" t="s">
        <v>163</v>
      </c>
      <c r="D125" s="3" t="s">
        <v>209</v>
      </c>
      <c r="E125" s="19" t="str">
        <f>VLOOKUP(D125,'Org Setup'!A:B,2,0)</f>
        <v>ES</v>
      </c>
      <c r="F125" s="23">
        <f>VLOOKUP(D125,'Org Setup'!A:D,4,0)</f>
        <v>5.0999999999999996</v>
      </c>
    </row>
    <row r="126" spans="1:6" x14ac:dyDescent="0.3">
      <c r="A126" s="6">
        <v>2000017373460</v>
      </c>
      <c r="B126" s="6">
        <f t="shared" si="1"/>
        <v>1</v>
      </c>
      <c r="C126" s="19" t="s">
        <v>163</v>
      </c>
      <c r="D126" s="3" t="s">
        <v>209</v>
      </c>
      <c r="E126" s="19" t="str">
        <f>VLOOKUP(D126,'Org Setup'!A:B,2,0)</f>
        <v>ES</v>
      </c>
      <c r="F126" s="23">
        <f>VLOOKUP(D126,'Org Setup'!A:D,4,0)</f>
        <v>5.0999999999999996</v>
      </c>
    </row>
    <row r="127" spans="1:6" x14ac:dyDescent="0.3">
      <c r="A127" s="6">
        <v>2000017182417</v>
      </c>
      <c r="B127" s="6">
        <f t="shared" si="1"/>
        <v>1</v>
      </c>
      <c r="C127" s="19" t="s">
        <v>163</v>
      </c>
      <c r="D127" s="3" t="s">
        <v>209</v>
      </c>
      <c r="E127" s="19" t="str">
        <f>VLOOKUP(D127,'Org Setup'!A:B,2,0)</f>
        <v>ES</v>
      </c>
      <c r="F127" s="23">
        <f>VLOOKUP(D127,'Org Setup'!A:D,4,0)</f>
        <v>5.0999999999999996</v>
      </c>
    </row>
    <row r="128" spans="1:6" x14ac:dyDescent="0.3">
      <c r="A128" s="6">
        <v>2000016719040</v>
      </c>
      <c r="B128" s="6">
        <f t="shared" si="1"/>
        <v>1</v>
      </c>
      <c r="C128" s="19" t="s">
        <v>163</v>
      </c>
      <c r="D128" s="3" t="s">
        <v>209</v>
      </c>
      <c r="E128" s="19" t="str">
        <f>VLOOKUP(D128,'Org Setup'!A:B,2,0)</f>
        <v>ES</v>
      </c>
      <c r="F128" s="23">
        <f>VLOOKUP(D128,'Org Setup'!A:D,4,0)</f>
        <v>5.0999999999999996</v>
      </c>
    </row>
    <row r="129" spans="1:6" x14ac:dyDescent="0.3">
      <c r="A129" s="6">
        <v>2000016633173</v>
      </c>
      <c r="B129" s="6">
        <f t="shared" si="1"/>
        <v>1</v>
      </c>
      <c r="C129" s="19" t="s">
        <v>163</v>
      </c>
      <c r="D129" s="16" t="s">
        <v>202</v>
      </c>
      <c r="E129" s="19" t="str">
        <f>VLOOKUP(D129,'Org Setup'!A:B,2,0)</f>
        <v>IS (1)</v>
      </c>
      <c r="F129" s="23">
        <f>VLOOKUP(D129,'Org Setup'!A:D,4,0)</f>
        <v>5.0999999999999996</v>
      </c>
    </row>
    <row r="130" spans="1:6" x14ac:dyDescent="0.3">
      <c r="A130" s="6">
        <v>2000016385395</v>
      </c>
      <c r="B130" s="6">
        <f t="shared" si="1"/>
        <v>1</v>
      </c>
      <c r="C130" s="19" t="s">
        <v>163</v>
      </c>
      <c r="D130" s="16" t="s">
        <v>202</v>
      </c>
      <c r="E130" s="19" t="str">
        <f>VLOOKUP(D130,'Org Setup'!A:B,2,0)</f>
        <v>IS (1)</v>
      </c>
      <c r="F130" s="23">
        <f>VLOOKUP(D130,'Org Setup'!A:D,4,0)</f>
        <v>5.0999999999999996</v>
      </c>
    </row>
    <row r="131" spans="1:6" x14ac:dyDescent="0.3">
      <c r="A131" s="6">
        <v>2000015832924</v>
      </c>
      <c r="B131" s="6">
        <f t="shared" ref="B131:B194" si="2">COUNTIF(A$2:A$411,A131)</f>
        <v>1</v>
      </c>
      <c r="C131" s="19" t="s">
        <v>163</v>
      </c>
      <c r="D131" s="16" t="s">
        <v>202</v>
      </c>
      <c r="E131" s="19" t="str">
        <f>VLOOKUP(D131,'Org Setup'!A:B,2,0)</f>
        <v>IS (1)</v>
      </c>
      <c r="F131" s="23">
        <f>VLOOKUP(D131,'Org Setup'!A:D,4,0)</f>
        <v>5.0999999999999996</v>
      </c>
    </row>
    <row r="132" spans="1:6" x14ac:dyDescent="0.3">
      <c r="A132" s="6">
        <v>2000015741124</v>
      </c>
      <c r="B132" s="6">
        <f t="shared" si="2"/>
        <v>1</v>
      </c>
      <c r="C132" s="19" t="s">
        <v>163</v>
      </c>
      <c r="D132" s="3" t="s">
        <v>209</v>
      </c>
      <c r="E132" s="19" t="str">
        <f>VLOOKUP(D132,'Org Setup'!A:B,2,0)</f>
        <v>ES</v>
      </c>
      <c r="F132" s="23">
        <f>VLOOKUP(D132,'Org Setup'!A:D,4,0)</f>
        <v>5.0999999999999996</v>
      </c>
    </row>
    <row r="133" spans="1:6" x14ac:dyDescent="0.3">
      <c r="A133" s="6">
        <v>2000015522379</v>
      </c>
      <c r="B133" s="6">
        <f t="shared" si="2"/>
        <v>1</v>
      </c>
      <c r="C133" s="19" t="s">
        <v>163</v>
      </c>
      <c r="D133" s="3" t="s">
        <v>209</v>
      </c>
      <c r="E133" s="19" t="str">
        <f>VLOOKUP(D133,'Org Setup'!A:B,2,0)</f>
        <v>ES</v>
      </c>
      <c r="F133" s="23">
        <f>VLOOKUP(D133,'Org Setup'!A:D,4,0)</f>
        <v>5.0999999999999996</v>
      </c>
    </row>
    <row r="134" spans="1:6" x14ac:dyDescent="0.3">
      <c r="A134" s="6">
        <v>2000015361199</v>
      </c>
      <c r="B134" s="6">
        <f t="shared" si="2"/>
        <v>1</v>
      </c>
      <c r="C134" s="19" t="s">
        <v>163</v>
      </c>
      <c r="D134" s="16" t="s">
        <v>202</v>
      </c>
      <c r="E134" s="19" t="str">
        <f>VLOOKUP(D134,'Org Setup'!A:B,2,0)</f>
        <v>IS (1)</v>
      </c>
      <c r="F134" s="23">
        <f>VLOOKUP(D134,'Org Setup'!A:D,4,0)</f>
        <v>5.0999999999999996</v>
      </c>
    </row>
    <row r="135" spans="1:6" x14ac:dyDescent="0.3">
      <c r="A135" s="6">
        <v>2000015300187</v>
      </c>
      <c r="B135" s="6">
        <f t="shared" si="2"/>
        <v>1</v>
      </c>
      <c r="C135" s="19" t="s">
        <v>163</v>
      </c>
      <c r="D135" s="16" t="s">
        <v>202</v>
      </c>
      <c r="E135" s="19" t="str">
        <f>VLOOKUP(D135,'Org Setup'!A:B,2,0)</f>
        <v>IS (1)</v>
      </c>
      <c r="F135" s="23">
        <f>VLOOKUP(D135,'Org Setup'!A:D,4,0)</f>
        <v>5.0999999999999996</v>
      </c>
    </row>
    <row r="136" spans="1:6" x14ac:dyDescent="0.3">
      <c r="A136" s="6">
        <v>2000015145088</v>
      </c>
      <c r="B136" s="6">
        <f t="shared" si="2"/>
        <v>1</v>
      </c>
      <c r="C136" s="19" t="s">
        <v>163</v>
      </c>
      <c r="D136" s="16" t="s">
        <v>202</v>
      </c>
      <c r="E136" s="19" t="str">
        <f>VLOOKUP(D136,'Org Setup'!A:B,2,0)</f>
        <v>IS (1)</v>
      </c>
      <c r="F136" s="23">
        <f>VLOOKUP(D136,'Org Setup'!A:D,4,0)</f>
        <v>5.0999999999999996</v>
      </c>
    </row>
    <row r="137" spans="1:6" x14ac:dyDescent="0.3">
      <c r="A137" s="6">
        <v>2000015144242</v>
      </c>
      <c r="B137" s="6">
        <f t="shared" si="2"/>
        <v>1</v>
      </c>
      <c r="C137" s="19" t="s">
        <v>163</v>
      </c>
      <c r="D137" s="3" t="s">
        <v>209</v>
      </c>
      <c r="E137" s="19" t="str">
        <f>VLOOKUP(D137,'Org Setup'!A:B,2,0)</f>
        <v>ES</v>
      </c>
      <c r="F137" s="23">
        <f>VLOOKUP(D137,'Org Setup'!A:D,4,0)</f>
        <v>5.0999999999999996</v>
      </c>
    </row>
    <row r="138" spans="1:6" x14ac:dyDescent="0.3">
      <c r="A138" s="6">
        <v>2000015135638</v>
      </c>
      <c r="B138" s="6">
        <f t="shared" si="2"/>
        <v>1</v>
      </c>
      <c r="C138" s="19" t="s">
        <v>163</v>
      </c>
      <c r="D138" s="16" t="s">
        <v>202</v>
      </c>
      <c r="E138" s="19" t="str">
        <f>VLOOKUP(D138,'Org Setup'!A:B,2,0)</f>
        <v>IS (1)</v>
      </c>
      <c r="F138" s="23">
        <f>VLOOKUP(D138,'Org Setup'!A:D,4,0)</f>
        <v>5.0999999999999996</v>
      </c>
    </row>
    <row r="139" spans="1:6" x14ac:dyDescent="0.3">
      <c r="A139" s="6">
        <v>2000015135559</v>
      </c>
      <c r="B139" s="6">
        <f t="shared" si="2"/>
        <v>1</v>
      </c>
      <c r="C139" s="19" t="s">
        <v>163</v>
      </c>
      <c r="D139" s="3" t="s">
        <v>209</v>
      </c>
      <c r="E139" s="19" t="str">
        <f>VLOOKUP(D139,'Org Setup'!A:B,2,0)</f>
        <v>ES</v>
      </c>
      <c r="F139" s="23">
        <f>VLOOKUP(D139,'Org Setup'!A:D,4,0)</f>
        <v>5.0999999999999996</v>
      </c>
    </row>
    <row r="140" spans="1:6" x14ac:dyDescent="0.3">
      <c r="A140" s="6">
        <v>2000014955030</v>
      </c>
      <c r="B140" s="6">
        <f t="shared" si="2"/>
        <v>1</v>
      </c>
      <c r="C140" s="19" t="s">
        <v>163</v>
      </c>
      <c r="D140" s="16" t="s">
        <v>202</v>
      </c>
      <c r="E140" s="19" t="str">
        <f>VLOOKUP(D140,'Org Setup'!A:B,2,0)</f>
        <v>IS (1)</v>
      </c>
      <c r="F140" s="23">
        <f>VLOOKUP(D140,'Org Setup'!A:D,4,0)</f>
        <v>5.0999999999999996</v>
      </c>
    </row>
    <row r="141" spans="1:6" x14ac:dyDescent="0.3">
      <c r="A141" s="6">
        <v>2000014845728</v>
      </c>
      <c r="B141" s="6">
        <f t="shared" si="2"/>
        <v>1</v>
      </c>
      <c r="C141" s="19" t="s">
        <v>163</v>
      </c>
      <c r="D141" s="3" t="s">
        <v>209</v>
      </c>
      <c r="E141" s="19" t="str">
        <f>VLOOKUP(D141,'Org Setup'!A:B,2,0)</f>
        <v>ES</v>
      </c>
      <c r="F141" s="23">
        <f>VLOOKUP(D141,'Org Setup'!A:D,4,0)</f>
        <v>5.0999999999999996</v>
      </c>
    </row>
    <row r="142" spans="1:6" x14ac:dyDescent="0.3">
      <c r="A142" s="6">
        <v>2000014742429</v>
      </c>
      <c r="B142" s="6">
        <f t="shared" si="2"/>
        <v>1</v>
      </c>
      <c r="C142" s="19" t="s">
        <v>163</v>
      </c>
      <c r="D142" s="16" t="s">
        <v>202</v>
      </c>
      <c r="E142" s="19" t="str">
        <f>VLOOKUP(D142,'Org Setup'!A:B,2,0)</f>
        <v>IS (1)</v>
      </c>
      <c r="F142" s="23">
        <f>VLOOKUP(D142,'Org Setup'!A:D,4,0)</f>
        <v>5.0999999999999996</v>
      </c>
    </row>
    <row r="143" spans="1:6" x14ac:dyDescent="0.3">
      <c r="A143" s="6">
        <v>2000014741693</v>
      </c>
      <c r="B143" s="6">
        <f t="shared" si="2"/>
        <v>1</v>
      </c>
      <c r="C143" s="19" t="s">
        <v>163</v>
      </c>
      <c r="D143" s="3" t="s">
        <v>209</v>
      </c>
      <c r="E143" s="19" t="str">
        <f>VLOOKUP(D143,'Org Setup'!A:B,2,0)</f>
        <v>ES</v>
      </c>
      <c r="F143" s="23">
        <f>VLOOKUP(D143,'Org Setup'!A:D,4,0)</f>
        <v>5.0999999999999996</v>
      </c>
    </row>
    <row r="144" spans="1:6" x14ac:dyDescent="0.3">
      <c r="A144" s="6">
        <v>2000014650725</v>
      </c>
      <c r="B144" s="6">
        <f t="shared" si="2"/>
        <v>1</v>
      </c>
      <c r="C144" s="19" t="s">
        <v>163</v>
      </c>
      <c r="D144" s="16" t="s">
        <v>202</v>
      </c>
      <c r="E144" s="19" t="str">
        <f>VLOOKUP(D144,'Org Setup'!A:B,2,0)</f>
        <v>IS (1)</v>
      </c>
      <c r="F144" s="23">
        <f>VLOOKUP(D144,'Org Setup'!A:D,4,0)</f>
        <v>5.0999999999999996</v>
      </c>
    </row>
    <row r="145" spans="1:6" x14ac:dyDescent="0.3">
      <c r="A145" s="6">
        <v>2000013739364</v>
      </c>
      <c r="B145" s="6">
        <f t="shared" si="2"/>
        <v>1</v>
      </c>
      <c r="C145" s="19" t="s">
        <v>163</v>
      </c>
      <c r="D145" s="16" t="s">
        <v>202</v>
      </c>
      <c r="E145" s="19" t="str">
        <f>VLOOKUP(D145,'Org Setup'!A:B,2,0)</f>
        <v>IS (1)</v>
      </c>
      <c r="F145" s="23">
        <f>VLOOKUP(D145,'Org Setup'!A:D,4,0)</f>
        <v>5.0999999999999996</v>
      </c>
    </row>
    <row r="146" spans="1:6" x14ac:dyDescent="0.3">
      <c r="A146" s="6">
        <v>2000013724206</v>
      </c>
      <c r="B146" s="6">
        <f t="shared" si="2"/>
        <v>1</v>
      </c>
      <c r="C146" s="19" t="s">
        <v>163</v>
      </c>
      <c r="D146" s="16" t="s">
        <v>202</v>
      </c>
      <c r="E146" s="19" t="str">
        <f>VLOOKUP(D146,'Org Setup'!A:B,2,0)</f>
        <v>IS (1)</v>
      </c>
      <c r="F146" s="23">
        <f>VLOOKUP(D146,'Org Setup'!A:D,4,0)</f>
        <v>5.0999999999999996</v>
      </c>
    </row>
    <row r="147" spans="1:6" x14ac:dyDescent="0.3">
      <c r="A147" s="6">
        <v>2000013543508</v>
      </c>
      <c r="B147" s="6">
        <f t="shared" si="2"/>
        <v>1</v>
      </c>
      <c r="C147" s="19" t="s">
        <v>163</v>
      </c>
      <c r="D147" s="3" t="s">
        <v>209</v>
      </c>
      <c r="E147" s="19" t="str">
        <f>VLOOKUP(D147,'Org Setup'!A:B,2,0)</f>
        <v>ES</v>
      </c>
      <c r="F147" s="23">
        <f>VLOOKUP(D147,'Org Setup'!A:D,4,0)</f>
        <v>5.0999999999999996</v>
      </c>
    </row>
    <row r="148" spans="1:6" x14ac:dyDescent="0.3">
      <c r="A148" s="6">
        <v>2000013386369</v>
      </c>
      <c r="B148" s="6">
        <f t="shared" si="2"/>
        <v>1</v>
      </c>
      <c r="C148" s="19" t="s">
        <v>163</v>
      </c>
      <c r="D148" s="3" t="s">
        <v>209</v>
      </c>
      <c r="E148" s="19" t="str">
        <f>VLOOKUP(D148,'Org Setup'!A:B,2,0)</f>
        <v>ES</v>
      </c>
      <c r="F148" s="23">
        <f>VLOOKUP(D148,'Org Setup'!A:D,4,0)</f>
        <v>5.0999999999999996</v>
      </c>
    </row>
    <row r="149" spans="1:6" x14ac:dyDescent="0.3">
      <c r="A149" s="6">
        <v>2000013354613</v>
      </c>
      <c r="B149" s="6">
        <f t="shared" si="2"/>
        <v>1</v>
      </c>
      <c r="C149" s="19" t="s">
        <v>163</v>
      </c>
      <c r="D149" s="3" t="s">
        <v>209</v>
      </c>
      <c r="E149" s="19" t="str">
        <f>VLOOKUP(D149,'Org Setup'!A:B,2,0)</f>
        <v>ES</v>
      </c>
      <c r="F149" s="23">
        <f>VLOOKUP(D149,'Org Setup'!A:D,4,0)</f>
        <v>5.0999999999999996</v>
      </c>
    </row>
    <row r="150" spans="1:6" x14ac:dyDescent="0.3">
      <c r="A150" s="6">
        <v>2000012596980</v>
      </c>
      <c r="B150" s="6">
        <f t="shared" si="2"/>
        <v>1</v>
      </c>
      <c r="C150" s="19" t="s">
        <v>163</v>
      </c>
      <c r="D150" s="16" t="s">
        <v>202</v>
      </c>
      <c r="E150" s="19" t="str">
        <f>VLOOKUP(D150,'Org Setup'!A:B,2,0)</f>
        <v>IS (1)</v>
      </c>
      <c r="F150" s="23">
        <f>VLOOKUP(D150,'Org Setup'!A:D,4,0)</f>
        <v>5.0999999999999996</v>
      </c>
    </row>
    <row r="151" spans="1:6" x14ac:dyDescent="0.3">
      <c r="A151" s="6">
        <v>2000012181836</v>
      </c>
      <c r="B151" s="6">
        <f t="shared" si="2"/>
        <v>1</v>
      </c>
      <c r="C151" s="19" t="s">
        <v>163</v>
      </c>
      <c r="D151" s="16" t="s">
        <v>202</v>
      </c>
      <c r="E151" s="19" t="str">
        <f>VLOOKUP(D151,'Org Setup'!A:B,2,0)</f>
        <v>IS (1)</v>
      </c>
      <c r="F151" s="23">
        <f>VLOOKUP(D151,'Org Setup'!A:D,4,0)</f>
        <v>5.0999999999999996</v>
      </c>
    </row>
    <row r="152" spans="1:6" x14ac:dyDescent="0.3">
      <c r="A152" s="6">
        <v>2000011953787</v>
      </c>
      <c r="B152" s="6">
        <f t="shared" si="2"/>
        <v>1</v>
      </c>
      <c r="C152" s="19" t="s">
        <v>163</v>
      </c>
      <c r="D152" s="3" t="s">
        <v>209</v>
      </c>
      <c r="E152" s="19" t="str">
        <f>VLOOKUP(D152,'Org Setup'!A:B,2,0)</f>
        <v>ES</v>
      </c>
      <c r="F152" s="23">
        <f>VLOOKUP(D152,'Org Setup'!A:D,4,0)</f>
        <v>5.0999999999999996</v>
      </c>
    </row>
    <row r="153" spans="1:6" x14ac:dyDescent="0.3">
      <c r="A153" s="6">
        <v>2000011757877</v>
      </c>
      <c r="B153" s="6">
        <f t="shared" si="2"/>
        <v>1</v>
      </c>
      <c r="C153" s="19" t="s">
        <v>163</v>
      </c>
      <c r="D153" s="3" t="s">
        <v>209</v>
      </c>
      <c r="E153" s="19" t="str">
        <f>VLOOKUP(D153,'Org Setup'!A:B,2,0)</f>
        <v>ES</v>
      </c>
      <c r="F153" s="23">
        <f>VLOOKUP(D153,'Org Setup'!A:D,4,0)</f>
        <v>5.0999999999999996</v>
      </c>
    </row>
    <row r="154" spans="1:6" x14ac:dyDescent="0.3">
      <c r="A154" s="6">
        <v>2000011405470</v>
      </c>
      <c r="B154" s="6">
        <f t="shared" si="2"/>
        <v>1</v>
      </c>
      <c r="C154" s="19" t="s">
        <v>163</v>
      </c>
      <c r="D154" s="3" t="s">
        <v>209</v>
      </c>
      <c r="E154" s="19" t="str">
        <f>VLOOKUP(D154,'Org Setup'!A:B,2,0)</f>
        <v>ES</v>
      </c>
      <c r="F154" s="23">
        <f>VLOOKUP(D154,'Org Setup'!A:D,4,0)</f>
        <v>5.0999999999999996</v>
      </c>
    </row>
    <row r="155" spans="1:6" x14ac:dyDescent="0.3">
      <c r="A155" s="6">
        <v>2000011164779</v>
      </c>
      <c r="B155" s="6">
        <f t="shared" si="2"/>
        <v>1</v>
      </c>
      <c r="C155" s="19" t="s">
        <v>163</v>
      </c>
      <c r="D155" s="3" t="s">
        <v>209</v>
      </c>
      <c r="E155" s="19" t="str">
        <f>VLOOKUP(D155,'Org Setup'!A:B,2,0)</f>
        <v>ES</v>
      </c>
      <c r="F155" s="23">
        <f>VLOOKUP(D155,'Org Setup'!A:D,4,0)</f>
        <v>5.0999999999999996</v>
      </c>
    </row>
    <row r="156" spans="1:6" x14ac:dyDescent="0.3">
      <c r="A156" s="6">
        <v>2000011134862</v>
      </c>
      <c r="B156" s="6">
        <f t="shared" si="2"/>
        <v>1</v>
      </c>
      <c r="C156" s="19" t="s">
        <v>163</v>
      </c>
      <c r="D156" s="16" t="s">
        <v>202</v>
      </c>
      <c r="E156" s="19" t="str">
        <f>VLOOKUP(D156,'Org Setup'!A:B,2,0)</f>
        <v>IS (1)</v>
      </c>
      <c r="F156" s="23">
        <f>VLOOKUP(D156,'Org Setup'!A:D,4,0)</f>
        <v>5.0999999999999996</v>
      </c>
    </row>
    <row r="157" spans="1:6" x14ac:dyDescent="0.3">
      <c r="A157" s="6">
        <v>2000010715050</v>
      </c>
      <c r="B157" s="6">
        <f t="shared" si="2"/>
        <v>1</v>
      </c>
      <c r="C157" s="19" t="s">
        <v>163</v>
      </c>
      <c r="D157" s="3" t="s">
        <v>209</v>
      </c>
      <c r="E157" s="19" t="str">
        <f>VLOOKUP(D157,'Org Setup'!A:B,2,0)</f>
        <v>ES</v>
      </c>
      <c r="F157" s="23">
        <f>VLOOKUP(D157,'Org Setup'!A:D,4,0)</f>
        <v>5.0999999999999996</v>
      </c>
    </row>
    <row r="158" spans="1:6" x14ac:dyDescent="0.3">
      <c r="A158" s="6">
        <v>2000010499742</v>
      </c>
      <c r="B158" s="6">
        <f t="shared" si="2"/>
        <v>1</v>
      </c>
      <c r="C158" s="19" t="s">
        <v>163</v>
      </c>
      <c r="D158" s="3" t="s">
        <v>209</v>
      </c>
      <c r="E158" s="19" t="str">
        <f>VLOOKUP(D158,'Org Setup'!A:B,2,0)</f>
        <v>ES</v>
      </c>
      <c r="F158" s="23">
        <f>VLOOKUP(D158,'Org Setup'!A:D,4,0)</f>
        <v>5.0999999999999996</v>
      </c>
    </row>
    <row r="159" spans="1:6" x14ac:dyDescent="0.3">
      <c r="A159" s="6">
        <v>2000010468674</v>
      </c>
      <c r="B159" s="6">
        <f t="shared" si="2"/>
        <v>1</v>
      </c>
      <c r="C159" s="19" t="s">
        <v>163</v>
      </c>
      <c r="D159" s="16" t="s">
        <v>202</v>
      </c>
      <c r="E159" s="19" t="str">
        <f>VLOOKUP(D159,'Org Setup'!A:B,2,0)</f>
        <v>IS (1)</v>
      </c>
      <c r="F159" s="23">
        <f>VLOOKUP(D159,'Org Setup'!A:D,4,0)</f>
        <v>5.0999999999999996</v>
      </c>
    </row>
    <row r="160" spans="1:6" x14ac:dyDescent="0.3">
      <c r="A160" s="6">
        <v>2000010411622</v>
      </c>
      <c r="B160" s="6">
        <f t="shared" si="2"/>
        <v>1</v>
      </c>
      <c r="C160" s="19" t="s">
        <v>163</v>
      </c>
      <c r="D160" s="3" t="s">
        <v>209</v>
      </c>
      <c r="E160" s="19" t="str">
        <f>VLOOKUP(D160,'Org Setup'!A:B,2,0)</f>
        <v>ES</v>
      </c>
      <c r="F160" s="23">
        <f>VLOOKUP(D160,'Org Setup'!A:D,4,0)</f>
        <v>5.0999999999999996</v>
      </c>
    </row>
    <row r="161" spans="1:6" x14ac:dyDescent="0.3">
      <c r="A161" s="6">
        <v>2000010333601</v>
      </c>
      <c r="B161" s="6">
        <f t="shared" si="2"/>
        <v>1</v>
      </c>
      <c r="C161" s="19" t="s">
        <v>163</v>
      </c>
      <c r="D161" s="3" t="s">
        <v>209</v>
      </c>
      <c r="E161" s="19" t="str">
        <f>VLOOKUP(D161,'Org Setup'!A:B,2,0)</f>
        <v>ES</v>
      </c>
      <c r="F161" s="23">
        <f>VLOOKUP(D161,'Org Setup'!A:D,4,0)</f>
        <v>5.0999999999999996</v>
      </c>
    </row>
    <row r="162" spans="1:6" x14ac:dyDescent="0.3">
      <c r="A162" s="6">
        <v>2000009884334</v>
      </c>
      <c r="B162" s="6">
        <f t="shared" si="2"/>
        <v>1</v>
      </c>
      <c r="C162" s="19" t="s">
        <v>163</v>
      </c>
      <c r="D162" s="3" t="s">
        <v>209</v>
      </c>
      <c r="E162" s="19" t="str">
        <f>VLOOKUP(D162,'Org Setup'!A:B,2,0)</f>
        <v>ES</v>
      </c>
      <c r="F162" s="23">
        <f>VLOOKUP(D162,'Org Setup'!A:D,4,0)</f>
        <v>5.0999999999999996</v>
      </c>
    </row>
    <row r="163" spans="1:6" x14ac:dyDescent="0.3">
      <c r="A163" s="6">
        <v>2000009802261</v>
      </c>
      <c r="B163" s="6">
        <f t="shared" si="2"/>
        <v>1</v>
      </c>
      <c r="C163" s="19" t="s">
        <v>163</v>
      </c>
      <c r="D163" s="16" t="s">
        <v>202</v>
      </c>
      <c r="E163" s="19" t="str">
        <f>VLOOKUP(D163,'Org Setup'!A:B,2,0)</f>
        <v>IS (1)</v>
      </c>
      <c r="F163" s="23">
        <f>VLOOKUP(D163,'Org Setup'!A:D,4,0)</f>
        <v>5.0999999999999996</v>
      </c>
    </row>
    <row r="164" spans="1:6" x14ac:dyDescent="0.3">
      <c r="A164" s="6">
        <v>2000009759990</v>
      </c>
      <c r="B164" s="6">
        <f t="shared" si="2"/>
        <v>1</v>
      </c>
      <c r="C164" s="19" t="s">
        <v>163</v>
      </c>
      <c r="D164" s="3" t="s">
        <v>209</v>
      </c>
      <c r="E164" s="19" t="str">
        <f>VLOOKUP(D164,'Org Setup'!A:B,2,0)</f>
        <v>ES</v>
      </c>
      <c r="F164" s="23">
        <f>VLOOKUP(D164,'Org Setup'!A:D,4,0)</f>
        <v>5.0999999999999996</v>
      </c>
    </row>
    <row r="165" spans="1:6" x14ac:dyDescent="0.3">
      <c r="A165" s="6">
        <v>2000009266968</v>
      </c>
      <c r="B165" s="6">
        <f t="shared" si="2"/>
        <v>1</v>
      </c>
      <c r="C165" s="19" t="s">
        <v>163</v>
      </c>
      <c r="D165" s="16" t="s">
        <v>202</v>
      </c>
      <c r="E165" s="19" t="str">
        <f>VLOOKUP(D165,'Org Setup'!A:B,2,0)</f>
        <v>IS (1)</v>
      </c>
      <c r="F165" s="23">
        <f>VLOOKUP(D165,'Org Setup'!A:D,4,0)</f>
        <v>5.0999999999999996</v>
      </c>
    </row>
    <row r="166" spans="1:6" x14ac:dyDescent="0.3">
      <c r="A166" s="6">
        <v>2000009081174</v>
      </c>
      <c r="B166" s="6">
        <f t="shared" si="2"/>
        <v>1</v>
      </c>
      <c r="C166" s="19" t="s">
        <v>163</v>
      </c>
      <c r="D166" s="3" t="s">
        <v>209</v>
      </c>
      <c r="E166" s="19" t="str">
        <f>VLOOKUP(D166,'Org Setup'!A:B,2,0)</f>
        <v>ES</v>
      </c>
      <c r="F166" s="23">
        <f>VLOOKUP(D166,'Org Setup'!A:D,4,0)</f>
        <v>5.0999999999999996</v>
      </c>
    </row>
    <row r="167" spans="1:6" x14ac:dyDescent="0.3">
      <c r="A167" s="6">
        <v>2000008946422</v>
      </c>
      <c r="B167" s="6">
        <f t="shared" si="2"/>
        <v>1</v>
      </c>
      <c r="C167" s="19" t="s">
        <v>163</v>
      </c>
      <c r="D167" s="16" t="s">
        <v>202</v>
      </c>
      <c r="E167" s="19" t="str">
        <f>VLOOKUP(D167,'Org Setup'!A:B,2,0)</f>
        <v>IS (1)</v>
      </c>
      <c r="F167" s="23">
        <f>VLOOKUP(D167,'Org Setup'!A:D,4,0)</f>
        <v>5.0999999999999996</v>
      </c>
    </row>
    <row r="168" spans="1:6" x14ac:dyDescent="0.3">
      <c r="A168" s="6">
        <v>2000008739724</v>
      </c>
      <c r="B168" s="6">
        <f t="shared" si="2"/>
        <v>1</v>
      </c>
      <c r="C168" s="19" t="s">
        <v>163</v>
      </c>
      <c r="D168" s="16" t="s">
        <v>202</v>
      </c>
      <c r="E168" s="19" t="str">
        <f>VLOOKUP(D168,'Org Setup'!A:B,2,0)</f>
        <v>IS (1)</v>
      </c>
      <c r="F168" s="23">
        <f>VLOOKUP(D168,'Org Setup'!A:D,4,0)</f>
        <v>5.0999999999999996</v>
      </c>
    </row>
    <row r="169" spans="1:6" x14ac:dyDescent="0.3">
      <c r="A169" s="6">
        <v>2000007990059</v>
      </c>
      <c r="B169" s="6">
        <f t="shared" si="2"/>
        <v>1</v>
      </c>
      <c r="C169" s="19" t="s">
        <v>163</v>
      </c>
      <c r="D169" s="3" t="s">
        <v>209</v>
      </c>
      <c r="E169" s="19" t="str">
        <f>VLOOKUP(D169,'Org Setup'!A:B,2,0)</f>
        <v>ES</v>
      </c>
      <c r="F169" s="23">
        <f>VLOOKUP(D169,'Org Setup'!A:D,4,0)</f>
        <v>5.0999999999999996</v>
      </c>
    </row>
    <row r="170" spans="1:6" x14ac:dyDescent="0.3">
      <c r="A170" s="6">
        <v>2000007685788</v>
      </c>
      <c r="B170" s="6">
        <f t="shared" si="2"/>
        <v>1</v>
      </c>
      <c r="C170" s="19" t="s">
        <v>163</v>
      </c>
      <c r="D170" s="16" t="s">
        <v>202</v>
      </c>
      <c r="E170" s="19" t="str">
        <f>VLOOKUP(D170,'Org Setup'!A:B,2,0)</f>
        <v>IS (1)</v>
      </c>
      <c r="F170" s="23">
        <f>VLOOKUP(D170,'Org Setup'!A:D,4,0)</f>
        <v>5.0999999999999996</v>
      </c>
    </row>
    <row r="171" spans="1:6" x14ac:dyDescent="0.3">
      <c r="A171" s="6">
        <v>2000007572417</v>
      </c>
      <c r="B171" s="6">
        <f t="shared" si="2"/>
        <v>1</v>
      </c>
      <c r="C171" s="19" t="s">
        <v>163</v>
      </c>
      <c r="D171" s="16" t="s">
        <v>202</v>
      </c>
      <c r="E171" s="19" t="str">
        <f>VLOOKUP(D171,'Org Setup'!A:B,2,0)</f>
        <v>IS (1)</v>
      </c>
      <c r="F171" s="23">
        <f>VLOOKUP(D171,'Org Setup'!A:D,4,0)</f>
        <v>5.0999999999999996</v>
      </c>
    </row>
    <row r="172" spans="1:6" x14ac:dyDescent="0.3">
      <c r="A172" s="6">
        <v>2000007376029</v>
      </c>
      <c r="B172" s="6">
        <f t="shared" si="2"/>
        <v>1</v>
      </c>
      <c r="C172" s="19" t="s">
        <v>163</v>
      </c>
      <c r="D172" s="16" t="s">
        <v>202</v>
      </c>
      <c r="E172" s="19" t="str">
        <f>VLOOKUP(D172,'Org Setup'!A:B,2,0)</f>
        <v>IS (1)</v>
      </c>
      <c r="F172" s="23">
        <f>VLOOKUP(D172,'Org Setup'!A:D,4,0)</f>
        <v>5.0999999999999996</v>
      </c>
    </row>
    <row r="173" spans="1:6" x14ac:dyDescent="0.3">
      <c r="A173" s="6">
        <v>2000006127551</v>
      </c>
      <c r="B173" s="6">
        <f t="shared" si="2"/>
        <v>1</v>
      </c>
      <c r="C173" s="19" t="s">
        <v>163</v>
      </c>
      <c r="D173" s="3" t="s">
        <v>209</v>
      </c>
      <c r="E173" s="19" t="str">
        <f>VLOOKUP(D173,'Org Setup'!A:B,2,0)</f>
        <v>ES</v>
      </c>
      <c r="F173" s="23">
        <f>VLOOKUP(D173,'Org Setup'!A:D,4,0)</f>
        <v>5.0999999999999996</v>
      </c>
    </row>
    <row r="174" spans="1:6" x14ac:dyDescent="0.3">
      <c r="A174" s="6">
        <v>1900060907311</v>
      </c>
      <c r="B174" s="6">
        <f t="shared" si="2"/>
        <v>1</v>
      </c>
      <c r="C174" s="19" t="s">
        <v>240</v>
      </c>
      <c r="D174" s="3" t="s">
        <v>276</v>
      </c>
      <c r="E174" s="19" t="str">
        <f>VLOOKUP(D174,'Org Setup'!A:B,2,0)</f>
        <v>IS (1)</v>
      </c>
      <c r="F174" s="23">
        <f>VLOOKUP(D174,'Org Setup'!A:D,4,0)</f>
        <v>5.0999999999999996</v>
      </c>
    </row>
    <row r="175" spans="1:6" x14ac:dyDescent="0.3">
      <c r="A175" s="6">
        <v>1900049348191</v>
      </c>
      <c r="B175" s="6">
        <f t="shared" si="2"/>
        <v>1</v>
      </c>
      <c r="C175" s="19" t="s">
        <v>240</v>
      </c>
      <c r="D175" s="3" t="s">
        <v>293</v>
      </c>
      <c r="E175" s="19" t="str">
        <f>VLOOKUP(D175,'Org Setup'!A:B,2,0)</f>
        <v>ES</v>
      </c>
      <c r="F175" s="23">
        <f>VLOOKUP(D175,'Org Setup'!A:D,4,0)</f>
        <v>5.0999999999999996</v>
      </c>
    </row>
    <row r="176" spans="1:6" x14ac:dyDescent="0.3">
      <c r="A176" s="6">
        <v>1900048079970</v>
      </c>
      <c r="B176" s="6">
        <f t="shared" si="2"/>
        <v>1</v>
      </c>
      <c r="C176" s="19" t="s">
        <v>240</v>
      </c>
      <c r="D176" s="3" t="s">
        <v>293</v>
      </c>
      <c r="E176" s="19" t="str">
        <f>VLOOKUP(D176,'Org Setup'!A:B,2,0)</f>
        <v>ES</v>
      </c>
      <c r="F176" s="23">
        <f>VLOOKUP(D176,'Org Setup'!A:D,4,0)</f>
        <v>5.0999999999999996</v>
      </c>
    </row>
    <row r="177" spans="1:10" x14ac:dyDescent="0.3">
      <c r="A177" s="6">
        <v>1900048079552</v>
      </c>
      <c r="B177" s="6">
        <f t="shared" si="2"/>
        <v>1</v>
      </c>
      <c r="C177" s="19" t="s">
        <v>240</v>
      </c>
      <c r="D177" s="3" t="s">
        <v>276</v>
      </c>
      <c r="E177" s="19" t="str">
        <f>VLOOKUP(D177,'Org Setup'!A:B,2,0)</f>
        <v>IS (1)</v>
      </c>
      <c r="F177" s="23">
        <v>5.2</v>
      </c>
      <c r="G177" s="37" t="s">
        <v>377</v>
      </c>
      <c r="H177" s="39" t="s">
        <v>378</v>
      </c>
      <c r="I177" s="32" t="s">
        <v>379</v>
      </c>
      <c r="J177" s="32" t="s">
        <v>380</v>
      </c>
    </row>
    <row r="178" spans="1:10" x14ac:dyDescent="0.3">
      <c r="A178" s="6">
        <v>1900048033502</v>
      </c>
      <c r="B178" s="6">
        <f t="shared" si="2"/>
        <v>1</v>
      </c>
      <c r="C178" s="19" t="s">
        <v>240</v>
      </c>
      <c r="D178" s="3" t="s">
        <v>276</v>
      </c>
      <c r="E178" s="19" t="str">
        <f>VLOOKUP(D178,'Org Setup'!A:B,2,0)</f>
        <v>IS (1)</v>
      </c>
      <c r="F178" s="23">
        <f>VLOOKUP(D178,'Org Setup'!A:D,4,0)</f>
        <v>5.0999999999999996</v>
      </c>
      <c r="G178" s="36" t="s">
        <v>381</v>
      </c>
      <c r="H178" s="40" t="s">
        <v>382</v>
      </c>
    </row>
    <row r="179" spans="1:10" x14ac:dyDescent="0.3">
      <c r="A179" s="6">
        <v>1900043297912</v>
      </c>
      <c r="B179" s="6">
        <f t="shared" si="2"/>
        <v>1</v>
      </c>
      <c r="C179" s="19" t="s">
        <v>240</v>
      </c>
      <c r="D179" s="3" t="s">
        <v>293</v>
      </c>
      <c r="E179" s="19" t="str">
        <f>VLOOKUP(D179,'Org Setup'!A:B,2,0)</f>
        <v>ES</v>
      </c>
      <c r="F179" s="23">
        <f>VLOOKUP(D179,'Org Setup'!A:D,4,0)</f>
        <v>5.0999999999999996</v>
      </c>
    </row>
    <row r="180" spans="1:10" x14ac:dyDescent="0.3">
      <c r="A180" s="6">
        <v>1900041295523</v>
      </c>
      <c r="B180" s="6">
        <f t="shared" si="2"/>
        <v>1</v>
      </c>
      <c r="C180" s="19" t="s">
        <v>240</v>
      </c>
      <c r="D180" s="3" t="s">
        <v>276</v>
      </c>
      <c r="E180" s="19" t="str">
        <f>VLOOKUP(D180,'Org Setup'!A:B,2,0)</f>
        <v>IS (1)</v>
      </c>
      <c r="F180" s="23">
        <f>VLOOKUP(D180,'Org Setup'!A:D,4,0)</f>
        <v>5.0999999999999996</v>
      </c>
    </row>
    <row r="181" spans="1:10" x14ac:dyDescent="0.3">
      <c r="A181" s="6">
        <v>1900040096694</v>
      </c>
      <c r="B181" s="6">
        <f t="shared" si="2"/>
        <v>1</v>
      </c>
      <c r="C181" s="19" t="s">
        <v>240</v>
      </c>
      <c r="D181" s="3" t="s">
        <v>276</v>
      </c>
      <c r="E181" s="19" t="str">
        <f>VLOOKUP(D181,'Org Setup'!A:B,2,0)</f>
        <v>IS (1)</v>
      </c>
      <c r="F181" s="23">
        <f>VLOOKUP(D181,'Org Setup'!A:D,4,0)</f>
        <v>5.0999999999999996</v>
      </c>
    </row>
    <row r="182" spans="1:10" x14ac:dyDescent="0.3">
      <c r="A182" s="6">
        <v>1900035347781</v>
      </c>
      <c r="B182" s="6">
        <f t="shared" si="2"/>
        <v>1</v>
      </c>
      <c r="C182" s="19" t="s">
        <v>240</v>
      </c>
      <c r="D182" s="3" t="s">
        <v>276</v>
      </c>
      <c r="E182" s="19" t="str">
        <f>VLOOKUP(D182,'Org Setup'!A:B,2,0)</f>
        <v>IS (1)</v>
      </c>
      <c r="F182" s="23">
        <f>VLOOKUP(D182,'Org Setup'!A:D,4,0)</f>
        <v>5.0999999999999996</v>
      </c>
      <c r="G182" s="36" t="s">
        <v>383</v>
      </c>
      <c r="H182" s="40" t="s">
        <v>384</v>
      </c>
    </row>
    <row r="183" spans="1:10" x14ac:dyDescent="0.3">
      <c r="A183" s="6">
        <v>1900035219723</v>
      </c>
      <c r="B183" s="6">
        <f t="shared" si="2"/>
        <v>1</v>
      </c>
      <c r="C183" s="19" t="s">
        <v>240</v>
      </c>
      <c r="D183" s="3" t="s">
        <v>276</v>
      </c>
      <c r="E183" s="19" t="str">
        <f>VLOOKUP(D183,'Org Setup'!A:B,2,0)</f>
        <v>IS (1)</v>
      </c>
      <c r="F183" s="23">
        <f>VLOOKUP(D183,'Org Setup'!A:D,4,0)</f>
        <v>5.0999999999999996</v>
      </c>
      <c r="G183" s="36" t="s">
        <v>385</v>
      </c>
      <c r="H183" s="40" t="s">
        <v>386</v>
      </c>
    </row>
    <row r="184" spans="1:10" x14ac:dyDescent="0.3">
      <c r="A184" s="6">
        <v>1900033159620</v>
      </c>
      <c r="B184" s="6">
        <f t="shared" si="2"/>
        <v>1</v>
      </c>
      <c r="C184" s="19" t="s">
        <v>240</v>
      </c>
      <c r="D184" s="3" t="s">
        <v>293</v>
      </c>
      <c r="E184" s="19" t="str">
        <f>VLOOKUP(D184,'Org Setup'!A:B,2,0)</f>
        <v>ES</v>
      </c>
      <c r="F184" s="23">
        <f>VLOOKUP(D184,'Org Setup'!A:D,4,0)</f>
        <v>5.0999999999999996</v>
      </c>
    </row>
    <row r="185" spans="1:10" x14ac:dyDescent="0.3">
      <c r="A185" s="6">
        <v>1900032006659</v>
      </c>
      <c r="B185" s="6">
        <f t="shared" si="2"/>
        <v>1</v>
      </c>
      <c r="C185" s="19" t="s">
        <v>240</v>
      </c>
      <c r="D185" s="3" t="s">
        <v>276</v>
      </c>
      <c r="E185" s="19" t="str">
        <f>VLOOKUP(D185,'Org Setup'!A:B,2,0)</f>
        <v>IS (1)</v>
      </c>
      <c r="F185" s="23">
        <f>VLOOKUP(D185,'Org Setup'!A:D,4,0)</f>
        <v>5.0999999999999996</v>
      </c>
    </row>
    <row r="186" spans="1:10" x14ac:dyDescent="0.3">
      <c r="A186" s="6">
        <v>1900029323573</v>
      </c>
      <c r="B186" s="6">
        <f t="shared" si="2"/>
        <v>1</v>
      </c>
      <c r="C186" s="19" t="s">
        <v>240</v>
      </c>
      <c r="D186" s="3" t="s">
        <v>276</v>
      </c>
      <c r="E186" s="19" t="str">
        <f>VLOOKUP(D186,'Org Setup'!A:B,2,0)</f>
        <v>IS (1)</v>
      </c>
      <c r="F186" s="23">
        <f>VLOOKUP(D186,'Org Setup'!A:D,4,0)</f>
        <v>5.0999999999999996</v>
      </c>
    </row>
    <row r="187" spans="1:10" x14ac:dyDescent="0.3">
      <c r="A187" s="6">
        <v>1900027067844</v>
      </c>
      <c r="B187" s="6">
        <f t="shared" si="2"/>
        <v>1</v>
      </c>
      <c r="C187" s="19" t="s">
        <v>240</v>
      </c>
      <c r="D187" s="3" t="s">
        <v>293</v>
      </c>
      <c r="E187" s="19" t="str">
        <f>VLOOKUP(D187,'Org Setup'!A:B,2,0)</f>
        <v>ES</v>
      </c>
      <c r="F187" s="23">
        <f>VLOOKUP(D187,'Org Setup'!A:D,4,0)</f>
        <v>5.0999999999999996</v>
      </c>
    </row>
    <row r="188" spans="1:10" x14ac:dyDescent="0.3">
      <c r="A188" s="6">
        <v>1900026393300</v>
      </c>
      <c r="B188" s="6">
        <f t="shared" si="2"/>
        <v>1</v>
      </c>
      <c r="C188" s="19" t="s">
        <v>240</v>
      </c>
      <c r="D188" s="3" t="s">
        <v>276</v>
      </c>
      <c r="E188" s="19" t="str">
        <f>VLOOKUP(D188,'Org Setup'!A:B,2,0)</f>
        <v>IS (1)</v>
      </c>
      <c r="F188" s="23">
        <f>VLOOKUP(D188,'Org Setup'!A:D,4,0)</f>
        <v>5.0999999999999996</v>
      </c>
    </row>
    <row r="189" spans="1:10" x14ac:dyDescent="0.3">
      <c r="A189" s="6">
        <v>1900026164635</v>
      </c>
      <c r="B189" s="6">
        <f t="shared" si="2"/>
        <v>1</v>
      </c>
      <c r="C189" s="19" t="s">
        <v>240</v>
      </c>
      <c r="D189" s="3" t="s">
        <v>276</v>
      </c>
      <c r="E189" s="19" t="str">
        <f>VLOOKUP(D189,'Org Setup'!A:B,2,0)</f>
        <v>IS (1)</v>
      </c>
      <c r="F189" s="23">
        <f>VLOOKUP(D189,'Org Setup'!A:D,4,0)</f>
        <v>5.0999999999999996</v>
      </c>
    </row>
    <row r="190" spans="1:10" x14ac:dyDescent="0.3">
      <c r="A190" s="6">
        <v>1900026119172</v>
      </c>
      <c r="B190" s="6">
        <f t="shared" si="2"/>
        <v>1</v>
      </c>
      <c r="C190" s="19" t="s">
        <v>240</v>
      </c>
      <c r="D190" s="3" t="s">
        <v>276</v>
      </c>
      <c r="E190" s="19" t="str">
        <f>VLOOKUP(D190,'Org Setup'!A:B,2,0)</f>
        <v>IS (1)</v>
      </c>
      <c r="F190" s="23">
        <f>VLOOKUP(D190,'Org Setup'!A:D,4,0)</f>
        <v>5.0999999999999996</v>
      </c>
      <c r="G190" s="36" t="s">
        <v>387</v>
      </c>
      <c r="H190" s="40" t="s">
        <v>388</v>
      </c>
    </row>
    <row r="191" spans="1:10" x14ac:dyDescent="0.3">
      <c r="A191" s="6">
        <v>1900022373513</v>
      </c>
      <c r="B191" s="6">
        <f t="shared" si="2"/>
        <v>1</v>
      </c>
      <c r="C191" s="19" t="s">
        <v>240</v>
      </c>
      <c r="D191" s="3" t="s">
        <v>276</v>
      </c>
      <c r="E191" s="19" t="str">
        <f>VLOOKUP(D191,'Org Setup'!A:B,2,0)</f>
        <v>IS (1)</v>
      </c>
      <c r="F191" s="23">
        <f>VLOOKUP(D191,'Org Setup'!A:D,4,0)</f>
        <v>5.0999999999999996</v>
      </c>
    </row>
    <row r="192" spans="1:10" x14ac:dyDescent="0.3">
      <c r="A192" s="6">
        <v>1900021224990</v>
      </c>
      <c r="B192" s="6">
        <f t="shared" si="2"/>
        <v>1</v>
      </c>
      <c r="C192" s="19" t="s">
        <v>240</v>
      </c>
      <c r="D192" s="3" t="s">
        <v>293</v>
      </c>
      <c r="E192" s="19" t="str">
        <f>VLOOKUP(D192,'Org Setup'!A:B,2,0)</f>
        <v>ES</v>
      </c>
      <c r="F192" s="23">
        <f>VLOOKUP(D192,'Org Setup'!A:D,4,0)</f>
        <v>5.0999999999999996</v>
      </c>
    </row>
    <row r="193" spans="1:10" x14ac:dyDescent="0.3">
      <c r="A193" s="6">
        <v>1900018257903</v>
      </c>
      <c r="B193" s="6">
        <f t="shared" si="2"/>
        <v>1</v>
      </c>
      <c r="C193" s="19" t="s">
        <v>240</v>
      </c>
      <c r="D193" s="3" t="s">
        <v>276</v>
      </c>
      <c r="E193" s="19" t="str">
        <f>VLOOKUP(D193,'Org Setup'!A:B,2,0)</f>
        <v>IS (1)</v>
      </c>
      <c r="F193" s="23">
        <f>VLOOKUP(D193,'Org Setup'!A:D,4,0)</f>
        <v>5.0999999999999996</v>
      </c>
    </row>
    <row r="194" spans="1:10" ht="43.2" x14ac:dyDescent="0.3">
      <c r="A194" s="6">
        <v>1900018071756</v>
      </c>
      <c r="B194" s="6">
        <f t="shared" si="2"/>
        <v>1</v>
      </c>
      <c r="C194" s="19" t="s">
        <v>240</v>
      </c>
      <c r="D194" s="3" t="s">
        <v>276</v>
      </c>
      <c r="E194" s="19" t="str">
        <f>VLOOKUP(D194,'Org Setup'!A:B,2,0)</f>
        <v>IS (1)</v>
      </c>
      <c r="F194" s="23">
        <v>5</v>
      </c>
      <c r="G194" s="36" t="s">
        <v>389</v>
      </c>
      <c r="H194" s="39" t="s">
        <v>390</v>
      </c>
      <c r="I194" s="9" t="s">
        <v>391</v>
      </c>
      <c r="J194" s="31" t="s">
        <v>392</v>
      </c>
    </row>
    <row r="195" spans="1:10" x14ac:dyDescent="0.3">
      <c r="A195" s="6">
        <v>1900018071506</v>
      </c>
      <c r="B195" s="6">
        <f t="shared" ref="B195:B258" si="3">COUNTIF(A$2:A$411,A195)</f>
        <v>1</v>
      </c>
      <c r="C195" s="19" t="s">
        <v>240</v>
      </c>
      <c r="D195" s="3" t="s">
        <v>276</v>
      </c>
      <c r="E195" s="19" t="str">
        <f>VLOOKUP(D195,'Org Setup'!A:B,2,0)</f>
        <v>IS (1)</v>
      </c>
      <c r="F195" s="23">
        <f>VLOOKUP(D195,'Org Setup'!A:D,4,0)</f>
        <v>5.0999999999999996</v>
      </c>
    </row>
    <row r="196" spans="1:10" x14ac:dyDescent="0.3">
      <c r="A196" s="6">
        <v>1900014237921</v>
      </c>
      <c r="B196" s="6">
        <f t="shared" si="3"/>
        <v>1</v>
      </c>
      <c r="C196" s="19" t="s">
        <v>240</v>
      </c>
      <c r="D196" s="3" t="s">
        <v>293</v>
      </c>
      <c r="E196" s="19" t="str">
        <f>VLOOKUP(D196,'Org Setup'!A:B,2,0)</f>
        <v>ES</v>
      </c>
      <c r="F196" s="23">
        <f>VLOOKUP(D196,'Org Setup'!A:D,4,0)</f>
        <v>5.0999999999999996</v>
      </c>
    </row>
    <row r="197" spans="1:10" x14ac:dyDescent="0.3">
      <c r="A197" s="6">
        <v>1900013058900</v>
      </c>
      <c r="B197" s="6">
        <f t="shared" si="3"/>
        <v>1</v>
      </c>
      <c r="C197" s="19" t="s">
        <v>240</v>
      </c>
      <c r="D197" s="3" t="s">
        <v>276</v>
      </c>
      <c r="E197" s="19" t="str">
        <f>VLOOKUP(D197,'Org Setup'!A:B,2,0)</f>
        <v>IS (1)</v>
      </c>
      <c r="F197" s="23">
        <f>VLOOKUP(D197,'Org Setup'!A:D,4,0)</f>
        <v>5.0999999999999996</v>
      </c>
    </row>
    <row r="198" spans="1:10" x14ac:dyDescent="0.3">
      <c r="A198" s="6">
        <v>1900011077672</v>
      </c>
      <c r="B198" s="6">
        <f t="shared" si="3"/>
        <v>1</v>
      </c>
      <c r="C198" s="19" t="s">
        <v>240</v>
      </c>
      <c r="D198" s="3" t="s">
        <v>293</v>
      </c>
      <c r="E198" s="19" t="str">
        <f>VLOOKUP(D198,'Org Setup'!A:B,2,0)</f>
        <v>ES</v>
      </c>
      <c r="F198" s="23">
        <f>VLOOKUP(D198,'Org Setup'!A:D,4,0)</f>
        <v>5.0999999999999996</v>
      </c>
    </row>
    <row r="199" spans="1:10" x14ac:dyDescent="0.3">
      <c r="A199" s="6">
        <v>1900009082343</v>
      </c>
      <c r="B199" s="6">
        <f t="shared" si="3"/>
        <v>1</v>
      </c>
      <c r="C199" s="19" t="s">
        <v>240</v>
      </c>
      <c r="D199" s="3" t="s">
        <v>276</v>
      </c>
      <c r="E199" s="19" t="str">
        <f>VLOOKUP(D199,'Org Setup'!A:B,2,0)</f>
        <v>IS (1)</v>
      </c>
      <c r="F199" s="23">
        <f>VLOOKUP(D199,'Org Setup'!A:D,4,0)</f>
        <v>5.0999999999999996</v>
      </c>
      <c r="G199" s="36" t="s">
        <v>393</v>
      </c>
      <c r="H199" s="39" t="s">
        <v>394</v>
      </c>
    </row>
    <row r="200" spans="1:10" x14ac:dyDescent="0.3">
      <c r="A200" s="6">
        <v>1900006220773</v>
      </c>
      <c r="B200" s="6">
        <f t="shared" si="3"/>
        <v>1</v>
      </c>
      <c r="C200" s="19" t="s">
        <v>240</v>
      </c>
      <c r="D200" s="3" t="s">
        <v>276</v>
      </c>
      <c r="E200" s="19" t="str">
        <f>VLOOKUP(D200,'Org Setup'!A:B,2,0)</f>
        <v>IS (1)</v>
      </c>
      <c r="F200" s="23">
        <f>VLOOKUP(D200,'Org Setup'!A:D,4,0)</f>
        <v>5.0999999999999996</v>
      </c>
      <c r="G200" s="9" t="s">
        <v>395</v>
      </c>
      <c r="H200" s="39" t="s">
        <v>396</v>
      </c>
    </row>
    <row r="201" spans="1:10" x14ac:dyDescent="0.3">
      <c r="A201" s="6">
        <v>1900005041111</v>
      </c>
      <c r="B201" s="6">
        <f t="shared" si="3"/>
        <v>1</v>
      </c>
      <c r="C201" s="19" t="s">
        <v>240</v>
      </c>
      <c r="D201" s="3" t="s">
        <v>276</v>
      </c>
      <c r="E201" s="19" t="str">
        <f>VLOOKUP(D201,'Org Setup'!A:B,2,0)</f>
        <v>IS (1)</v>
      </c>
      <c r="F201" s="23">
        <f>VLOOKUP(D201,'Org Setup'!A:D,4,0)</f>
        <v>5.0999999999999996</v>
      </c>
    </row>
    <row r="202" spans="1:10" x14ac:dyDescent="0.3">
      <c r="A202" s="6">
        <v>1800033280712</v>
      </c>
      <c r="B202" s="6">
        <f t="shared" si="3"/>
        <v>1</v>
      </c>
      <c r="C202" s="19" t="s">
        <v>240</v>
      </c>
      <c r="D202" s="3" t="s">
        <v>276</v>
      </c>
      <c r="E202" s="19" t="str">
        <f>VLOOKUP(D202,'Org Setup'!A:B,2,0)</f>
        <v>IS (1)</v>
      </c>
      <c r="F202" s="23">
        <f>VLOOKUP(D202,'Org Setup'!A:D,4,0)</f>
        <v>5.0999999999999996</v>
      </c>
    </row>
    <row r="203" spans="1:10" x14ac:dyDescent="0.3">
      <c r="A203" s="6">
        <v>1800032561202</v>
      </c>
      <c r="B203" s="6">
        <f t="shared" si="3"/>
        <v>1</v>
      </c>
      <c r="C203" s="19" t="s">
        <v>240</v>
      </c>
      <c r="D203" s="3" t="s">
        <v>293</v>
      </c>
      <c r="E203" s="19" t="str">
        <f>VLOOKUP(D203,'Org Setup'!A:B,2,0)</f>
        <v>ES</v>
      </c>
      <c r="F203" s="23">
        <f>VLOOKUP(D203,'Org Setup'!A:D,4,0)</f>
        <v>5.0999999999999996</v>
      </c>
    </row>
    <row r="204" spans="1:10" x14ac:dyDescent="0.3">
      <c r="A204" s="6">
        <v>1800030606474</v>
      </c>
      <c r="B204" s="6">
        <f t="shared" si="3"/>
        <v>2</v>
      </c>
      <c r="C204" s="19" t="s">
        <v>240</v>
      </c>
      <c r="D204" s="3" t="s">
        <v>293</v>
      </c>
      <c r="E204" s="19" t="str">
        <f>VLOOKUP(D204,'Org Setup'!A:B,2,0)</f>
        <v>ES</v>
      </c>
      <c r="F204" s="23">
        <f>VLOOKUP(D204,'Org Setup'!A:D,4,0)</f>
        <v>5.0999999999999996</v>
      </c>
    </row>
    <row r="205" spans="1:10" x14ac:dyDescent="0.3">
      <c r="A205" s="6">
        <v>1800030606474</v>
      </c>
      <c r="B205" s="6">
        <f t="shared" si="3"/>
        <v>2</v>
      </c>
      <c r="C205" s="19" t="s">
        <v>163</v>
      </c>
      <c r="D205" s="16" t="s">
        <v>202</v>
      </c>
      <c r="E205" s="19" t="str">
        <f>VLOOKUP(D205,'Org Setup'!A:B,2,0)</f>
        <v>IS (1)</v>
      </c>
      <c r="F205" s="23">
        <f>VLOOKUP(D205,'Org Setup'!A:D,4,0)</f>
        <v>5.0999999999999996</v>
      </c>
    </row>
    <row r="206" spans="1:10" x14ac:dyDescent="0.3">
      <c r="A206" s="6">
        <v>1800030570836</v>
      </c>
      <c r="B206" s="6">
        <f t="shared" si="3"/>
        <v>1</v>
      </c>
      <c r="C206" s="19" t="s">
        <v>240</v>
      </c>
      <c r="D206" s="3" t="s">
        <v>276</v>
      </c>
      <c r="E206" s="19" t="str">
        <f>VLOOKUP(D206,'Org Setup'!A:B,2,0)</f>
        <v>IS (1)</v>
      </c>
      <c r="F206" s="23">
        <f>VLOOKUP(D206,'Org Setup'!A:D,4,0)</f>
        <v>5.0999999999999996</v>
      </c>
      <c r="G206" s="29" t="s">
        <v>397</v>
      </c>
    </row>
    <row r="207" spans="1:10" x14ac:dyDescent="0.3">
      <c r="A207" s="6">
        <v>1800030161297</v>
      </c>
      <c r="B207" s="6">
        <f t="shared" si="3"/>
        <v>1</v>
      </c>
      <c r="C207" s="19" t="s">
        <v>240</v>
      </c>
      <c r="D207" s="3" t="s">
        <v>276</v>
      </c>
      <c r="E207" s="19" t="str">
        <f>VLOOKUP(D207,'Org Setup'!A:B,2,0)</f>
        <v>IS (1)</v>
      </c>
      <c r="F207" s="23">
        <f>VLOOKUP(D207,'Org Setup'!A:D,4,0)</f>
        <v>5.0999999999999996</v>
      </c>
    </row>
    <row r="208" spans="1:10" x14ac:dyDescent="0.3">
      <c r="A208" s="6">
        <v>1800029804903</v>
      </c>
      <c r="B208" s="6">
        <f t="shared" si="3"/>
        <v>1</v>
      </c>
      <c r="C208" s="19" t="s">
        <v>240</v>
      </c>
      <c r="D208" s="3" t="s">
        <v>276</v>
      </c>
      <c r="E208" s="19" t="str">
        <f>VLOOKUP(D208,'Org Setup'!A:B,2,0)</f>
        <v>IS (1)</v>
      </c>
      <c r="F208" s="23">
        <f>VLOOKUP(D208,'Org Setup'!A:D,4,0)</f>
        <v>5.0999999999999996</v>
      </c>
      <c r="G208" s="36" t="s">
        <v>398</v>
      </c>
      <c r="H208" s="40" t="s">
        <v>399</v>
      </c>
    </row>
    <row r="209" spans="1:8" x14ac:dyDescent="0.3">
      <c r="A209" s="6">
        <v>1800029754838</v>
      </c>
      <c r="B209" s="6">
        <f t="shared" si="3"/>
        <v>1</v>
      </c>
      <c r="C209" s="19" t="s">
        <v>240</v>
      </c>
      <c r="D209" s="3" t="s">
        <v>276</v>
      </c>
      <c r="E209" s="19" t="str">
        <f>VLOOKUP(D209,'Org Setup'!A:B,2,0)</f>
        <v>IS (1)</v>
      </c>
      <c r="F209" s="23">
        <f>VLOOKUP(D209,'Org Setup'!A:D,4,0)</f>
        <v>5.0999999999999996</v>
      </c>
    </row>
    <row r="210" spans="1:8" x14ac:dyDescent="0.3">
      <c r="A210" s="6">
        <v>1800026961738</v>
      </c>
      <c r="B210" s="6">
        <f t="shared" si="3"/>
        <v>2</v>
      </c>
      <c r="C210" s="19" t="s">
        <v>240</v>
      </c>
      <c r="D210" s="3" t="s">
        <v>276</v>
      </c>
      <c r="E210" s="19" t="str">
        <f>VLOOKUP(D210,'Org Setup'!A:B,2,0)</f>
        <v>IS (1)</v>
      </c>
      <c r="F210" s="23">
        <f>VLOOKUP(D210,'Org Setup'!A:D,4,0)</f>
        <v>5.0999999999999996</v>
      </c>
    </row>
    <row r="211" spans="1:8" x14ac:dyDescent="0.3">
      <c r="A211" s="6">
        <v>1800026961738</v>
      </c>
      <c r="B211" s="6">
        <f t="shared" si="3"/>
        <v>2</v>
      </c>
      <c r="C211" s="19" t="s">
        <v>163</v>
      </c>
      <c r="D211" s="16" t="s">
        <v>202</v>
      </c>
      <c r="E211" s="19" t="str">
        <f>VLOOKUP(D211,'Org Setup'!A:B,2,0)</f>
        <v>IS (1)</v>
      </c>
      <c r="F211" s="23">
        <f>VLOOKUP(D211,'Org Setup'!A:D,4,0)</f>
        <v>5.0999999999999996</v>
      </c>
    </row>
    <row r="212" spans="1:8" x14ac:dyDescent="0.3">
      <c r="A212" s="6">
        <v>1800026834589</v>
      </c>
      <c r="B212" s="6">
        <f t="shared" si="3"/>
        <v>1</v>
      </c>
      <c r="C212" s="19" t="s">
        <v>240</v>
      </c>
      <c r="D212" s="3" t="s">
        <v>276</v>
      </c>
      <c r="E212" s="19" t="str">
        <f>VLOOKUP(D212,'Org Setup'!A:B,2,0)</f>
        <v>IS (1)</v>
      </c>
      <c r="F212" s="23">
        <f>VLOOKUP(D212,'Org Setup'!A:D,4,0)</f>
        <v>5.0999999999999996</v>
      </c>
    </row>
    <row r="213" spans="1:8" x14ac:dyDescent="0.3">
      <c r="A213" s="6">
        <v>1800026467348</v>
      </c>
      <c r="B213" s="6">
        <f t="shared" si="3"/>
        <v>1</v>
      </c>
      <c r="C213" s="19" t="s">
        <v>240</v>
      </c>
      <c r="D213" s="3" t="s">
        <v>276</v>
      </c>
      <c r="E213" s="19" t="str">
        <f>VLOOKUP(D213,'Org Setup'!A:B,2,0)</f>
        <v>IS (1)</v>
      </c>
      <c r="F213" s="23">
        <f>VLOOKUP(D213,'Org Setup'!A:D,4,0)</f>
        <v>5.0999999999999996</v>
      </c>
      <c r="G213" s="36" t="s">
        <v>400</v>
      </c>
      <c r="H213" s="40" t="s">
        <v>401</v>
      </c>
    </row>
    <row r="214" spans="1:8" x14ac:dyDescent="0.3">
      <c r="A214" s="6">
        <v>1800026050464</v>
      </c>
      <c r="B214" s="6">
        <f t="shared" si="3"/>
        <v>1</v>
      </c>
      <c r="C214" s="19" t="s">
        <v>240</v>
      </c>
      <c r="D214" s="3" t="s">
        <v>276</v>
      </c>
      <c r="E214" s="19" t="str">
        <f>VLOOKUP(D214,'Org Setup'!A:B,2,0)</f>
        <v>IS (1)</v>
      </c>
      <c r="F214" s="23">
        <f>VLOOKUP(D214,'Org Setup'!A:D,4,0)</f>
        <v>5.0999999999999996</v>
      </c>
      <c r="G214" s="39" t="s">
        <v>402</v>
      </c>
      <c r="H214" s="39" t="s">
        <v>403</v>
      </c>
    </row>
    <row r="215" spans="1:8" x14ac:dyDescent="0.3">
      <c r="A215" s="6">
        <v>1800026050171</v>
      </c>
      <c r="B215" s="6">
        <f t="shared" si="3"/>
        <v>1</v>
      </c>
      <c r="C215" s="19" t="s">
        <v>240</v>
      </c>
      <c r="D215" s="3" t="s">
        <v>276</v>
      </c>
      <c r="E215" s="19" t="str">
        <f>VLOOKUP(D215,'Org Setup'!A:B,2,0)</f>
        <v>IS (1)</v>
      </c>
      <c r="F215" s="23">
        <f>VLOOKUP(D215,'Org Setup'!A:D,4,0)</f>
        <v>5.0999999999999996</v>
      </c>
      <c r="G215" s="36" t="s">
        <v>404</v>
      </c>
      <c r="H215" s="40" t="s">
        <v>405</v>
      </c>
    </row>
    <row r="216" spans="1:8" x14ac:dyDescent="0.3">
      <c r="A216" s="6">
        <v>1800022132760</v>
      </c>
      <c r="B216" s="6">
        <f t="shared" si="3"/>
        <v>1</v>
      </c>
      <c r="C216" s="19" t="s">
        <v>240</v>
      </c>
      <c r="D216" s="3" t="s">
        <v>293</v>
      </c>
      <c r="E216" s="19" t="str">
        <f>VLOOKUP(D216,'Org Setup'!A:B,2,0)</f>
        <v>ES</v>
      </c>
      <c r="F216" s="23">
        <f>VLOOKUP(D216,'Org Setup'!A:D,4,0)</f>
        <v>5.0999999999999996</v>
      </c>
      <c r="G216" s="19"/>
      <c r="H216" s="19"/>
    </row>
    <row r="217" spans="1:8" x14ac:dyDescent="0.3">
      <c r="A217" s="6">
        <v>1800021049970</v>
      </c>
      <c r="B217" s="6">
        <f t="shared" si="3"/>
        <v>1</v>
      </c>
      <c r="C217" s="19" t="s">
        <v>240</v>
      </c>
      <c r="D217" s="3" t="s">
        <v>276</v>
      </c>
      <c r="E217" s="19" t="str">
        <f>VLOOKUP(D217,'Org Setup'!A:B,2,0)</f>
        <v>IS (1)</v>
      </c>
      <c r="F217" s="23">
        <f>VLOOKUP(D217,'Org Setup'!A:D,4,0)</f>
        <v>5.0999999999999996</v>
      </c>
      <c r="G217" s="19"/>
      <c r="H217" s="19"/>
    </row>
    <row r="218" spans="1:8" x14ac:dyDescent="0.3">
      <c r="A218" s="6">
        <v>1800020276896</v>
      </c>
      <c r="B218" s="6">
        <f t="shared" si="3"/>
        <v>1</v>
      </c>
      <c r="C218" s="19" t="s">
        <v>240</v>
      </c>
      <c r="D218" s="3" t="s">
        <v>276</v>
      </c>
      <c r="E218" s="19" t="str">
        <f>VLOOKUP(D218,'Org Setup'!A:B,2,0)</f>
        <v>IS (1)</v>
      </c>
      <c r="F218" s="23">
        <f>VLOOKUP(D218,'Org Setup'!A:D,4,0)</f>
        <v>5.0999999999999996</v>
      </c>
      <c r="G218" s="19"/>
      <c r="H218" s="19"/>
    </row>
    <row r="219" spans="1:8" x14ac:dyDescent="0.3">
      <c r="A219" s="6">
        <v>1800019453944</v>
      </c>
      <c r="B219" s="6">
        <f t="shared" si="3"/>
        <v>1</v>
      </c>
      <c r="C219" s="19" t="s">
        <v>240</v>
      </c>
      <c r="D219" s="3" t="s">
        <v>293</v>
      </c>
      <c r="E219" s="19" t="str">
        <f>VLOOKUP(D219,'Org Setup'!A:B,2,0)</f>
        <v>ES</v>
      </c>
      <c r="F219" s="23">
        <f>VLOOKUP(D219,'Org Setup'!A:D,4,0)</f>
        <v>5.0999999999999996</v>
      </c>
      <c r="G219" s="19"/>
      <c r="H219" s="19"/>
    </row>
    <row r="220" spans="1:8" x14ac:dyDescent="0.3">
      <c r="A220" s="6">
        <v>1800019138185</v>
      </c>
      <c r="B220" s="6">
        <f t="shared" si="3"/>
        <v>1</v>
      </c>
      <c r="C220" s="19" t="s">
        <v>240</v>
      </c>
      <c r="D220" s="3" t="s">
        <v>276</v>
      </c>
      <c r="E220" s="19" t="str">
        <f>VLOOKUP(D220,'Org Setup'!A:B,2,0)</f>
        <v>IS (1)</v>
      </c>
      <c r="F220" s="23">
        <f>VLOOKUP(D220,'Org Setup'!A:D,4,0)</f>
        <v>5.0999999999999996</v>
      </c>
      <c r="G220" s="19"/>
      <c r="H220" s="19"/>
    </row>
    <row r="221" spans="1:8" x14ac:dyDescent="0.3">
      <c r="A221" s="6">
        <v>1800017009247</v>
      </c>
      <c r="B221" s="6">
        <f t="shared" si="3"/>
        <v>1</v>
      </c>
      <c r="C221" s="19" t="s">
        <v>240</v>
      </c>
      <c r="D221" s="3" t="s">
        <v>276</v>
      </c>
      <c r="E221" s="19" t="str">
        <f>VLOOKUP(D221,'Org Setup'!A:B,2,0)</f>
        <v>IS (1)</v>
      </c>
      <c r="F221" s="23">
        <f>VLOOKUP(D221,'Org Setup'!A:D,4,0)</f>
        <v>5.0999999999999996</v>
      </c>
      <c r="G221" s="39" t="s">
        <v>406</v>
      </c>
      <c r="H221" s="40" t="s">
        <v>407</v>
      </c>
    </row>
    <row r="222" spans="1:8" x14ac:dyDescent="0.3">
      <c r="A222" s="6">
        <v>1800015472535</v>
      </c>
      <c r="B222" s="6">
        <f t="shared" si="3"/>
        <v>1</v>
      </c>
      <c r="C222" s="19" t="s">
        <v>240</v>
      </c>
      <c r="D222" s="3" t="s">
        <v>276</v>
      </c>
      <c r="E222" s="19" t="str">
        <f>VLOOKUP(D222,'Org Setup'!A:B,2,0)</f>
        <v>IS (1)</v>
      </c>
      <c r="F222" s="23">
        <f>VLOOKUP(D222,'Org Setup'!A:D,4,0)</f>
        <v>5.0999999999999996</v>
      </c>
      <c r="G222" s="19"/>
      <c r="H222" s="19"/>
    </row>
    <row r="223" spans="1:8" x14ac:dyDescent="0.3">
      <c r="A223" s="6">
        <v>1800014720410</v>
      </c>
      <c r="B223" s="6">
        <f t="shared" si="3"/>
        <v>1</v>
      </c>
      <c r="C223" s="19" t="s">
        <v>240</v>
      </c>
      <c r="D223" s="3" t="s">
        <v>293</v>
      </c>
      <c r="E223" s="19" t="str">
        <f>VLOOKUP(D223,'Org Setup'!A:B,2,0)</f>
        <v>ES</v>
      </c>
      <c r="F223" s="23">
        <f>VLOOKUP(D223,'Org Setup'!A:D,4,0)</f>
        <v>5.0999999999999996</v>
      </c>
    </row>
    <row r="224" spans="1:8" x14ac:dyDescent="0.3">
      <c r="A224" s="6">
        <v>1726840588008</v>
      </c>
      <c r="B224" s="6">
        <f t="shared" si="3"/>
        <v>1</v>
      </c>
      <c r="C224" s="19" t="s">
        <v>163</v>
      </c>
      <c r="D224" s="3" t="s">
        <v>209</v>
      </c>
      <c r="E224" s="19" t="str">
        <f>VLOOKUP(D224,'Org Setup'!A:B,2,0)</f>
        <v>ES</v>
      </c>
      <c r="F224" s="23">
        <f>VLOOKUP(D224,'Org Setup'!A:D,4,0)</f>
        <v>5.0999999999999996</v>
      </c>
    </row>
    <row r="225" spans="1:6" x14ac:dyDescent="0.3">
      <c r="A225" s="6">
        <v>1726767312001</v>
      </c>
      <c r="B225" s="6">
        <f t="shared" si="3"/>
        <v>1</v>
      </c>
      <c r="C225" s="19" t="s">
        <v>163</v>
      </c>
      <c r="D225" s="3" t="s">
        <v>209</v>
      </c>
      <c r="E225" s="19" t="str">
        <f>VLOOKUP(D225,'Org Setup'!A:B,2,0)</f>
        <v>ES</v>
      </c>
      <c r="F225" s="23">
        <f>VLOOKUP(D225,'Org Setup'!A:D,4,0)</f>
        <v>5.0999999999999996</v>
      </c>
    </row>
    <row r="226" spans="1:6" x14ac:dyDescent="0.3">
      <c r="A226" s="6">
        <v>1726707032501</v>
      </c>
      <c r="B226" s="6">
        <f t="shared" si="3"/>
        <v>1</v>
      </c>
      <c r="C226" s="19" t="s">
        <v>163</v>
      </c>
      <c r="D226" s="3" t="s">
        <v>209</v>
      </c>
      <c r="E226" s="19" t="str">
        <f>VLOOKUP(D226,'Org Setup'!A:B,2,0)</f>
        <v>ES</v>
      </c>
      <c r="F226" s="23">
        <f>VLOOKUP(D226,'Org Setup'!A:D,4,0)</f>
        <v>5.0999999999999996</v>
      </c>
    </row>
    <row r="227" spans="1:6" x14ac:dyDescent="0.3">
      <c r="A227" s="6">
        <v>1726432803743</v>
      </c>
      <c r="B227" s="6">
        <f t="shared" si="3"/>
        <v>1</v>
      </c>
      <c r="C227" s="19" t="s">
        <v>163</v>
      </c>
      <c r="D227" s="16" t="s">
        <v>202</v>
      </c>
      <c r="E227" s="19" t="str">
        <f>VLOOKUP(D227,'Org Setup'!A:B,2,0)</f>
        <v>IS (1)</v>
      </c>
      <c r="F227" s="23">
        <f>VLOOKUP(D227,'Org Setup'!A:D,4,0)</f>
        <v>5.0999999999999996</v>
      </c>
    </row>
    <row r="228" spans="1:6" x14ac:dyDescent="0.3">
      <c r="A228" s="6">
        <v>1726258400602</v>
      </c>
      <c r="B228" s="6">
        <f t="shared" si="3"/>
        <v>1</v>
      </c>
      <c r="C228" s="19" t="s">
        <v>163</v>
      </c>
      <c r="D228" s="16" t="s">
        <v>202</v>
      </c>
      <c r="E228" s="19" t="str">
        <f>VLOOKUP(D228,'Org Setup'!A:B,2,0)</f>
        <v>IS (1)</v>
      </c>
      <c r="F228" s="23">
        <f>VLOOKUP(D228,'Org Setup'!A:D,4,0)</f>
        <v>5.0999999999999996</v>
      </c>
    </row>
    <row r="229" spans="1:6" x14ac:dyDescent="0.3">
      <c r="A229" s="6">
        <v>1726257145808</v>
      </c>
      <c r="B229" s="6">
        <f t="shared" si="3"/>
        <v>1</v>
      </c>
      <c r="C229" s="19" t="s">
        <v>163</v>
      </c>
      <c r="D229" s="3" t="s">
        <v>209</v>
      </c>
      <c r="E229" s="19" t="str">
        <f>VLOOKUP(D229,'Org Setup'!A:B,2,0)</f>
        <v>ES</v>
      </c>
      <c r="F229" s="23">
        <f>VLOOKUP(D229,'Org Setup'!A:D,4,0)</f>
        <v>5.0999999999999996</v>
      </c>
    </row>
    <row r="230" spans="1:6" x14ac:dyDescent="0.3">
      <c r="A230" s="6">
        <v>1726138172723</v>
      </c>
      <c r="B230" s="6">
        <f t="shared" si="3"/>
        <v>1</v>
      </c>
      <c r="C230" s="19" t="s">
        <v>163</v>
      </c>
      <c r="D230" s="16" t="s">
        <v>202</v>
      </c>
      <c r="E230" s="19" t="str">
        <f>VLOOKUP(D230,'Org Setup'!A:B,2,0)</f>
        <v>IS (1)</v>
      </c>
      <c r="F230" s="23">
        <f>VLOOKUP(D230,'Org Setup'!A:D,4,0)</f>
        <v>5.0999999999999996</v>
      </c>
    </row>
    <row r="231" spans="1:6" x14ac:dyDescent="0.3">
      <c r="A231" s="6">
        <v>1726112996256</v>
      </c>
      <c r="B231" s="6">
        <f t="shared" si="3"/>
        <v>1</v>
      </c>
      <c r="C231" s="19" t="s">
        <v>163</v>
      </c>
      <c r="D231" s="3" t="s">
        <v>209</v>
      </c>
      <c r="E231" s="19" t="str">
        <f>VLOOKUP(D231,'Org Setup'!A:B,2,0)</f>
        <v>ES</v>
      </c>
      <c r="F231" s="23">
        <f>VLOOKUP(D231,'Org Setup'!A:D,4,0)</f>
        <v>5.0999999999999996</v>
      </c>
    </row>
    <row r="232" spans="1:6" x14ac:dyDescent="0.3">
      <c r="A232" s="6">
        <v>1726112512906</v>
      </c>
      <c r="B232" s="6">
        <f t="shared" si="3"/>
        <v>1</v>
      </c>
      <c r="C232" s="19" t="s">
        <v>163</v>
      </c>
      <c r="D232" s="3" t="s">
        <v>209</v>
      </c>
      <c r="E232" s="19" t="str">
        <f>VLOOKUP(D232,'Org Setup'!A:B,2,0)</f>
        <v>ES</v>
      </c>
      <c r="F232" s="23">
        <f>VLOOKUP(D232,'Org Setup'!A:D,4,0)</f>
        <v>5.0999999999999996</v>
      </c>
    </row>
    <row r="233" spans="1:6" x14ac:dyDescent="0.3">
      <c r="A233" s="6">
        <v>1726011087300</v>
      </c>
      <c r="B233" s="6">
        <f t="shared" si="3"/>
        <v>1</v>
      </c>
      <c r="C233" s="19" t="s">
        <v>163</v>
      </c>
      <c r="D233" s="3" t="s">
        <v>209</v>
      </c>
      <c r="E233" s="19" t="str">
        <f>VLOOKUP(D233,'Org Setup'!A:B,2,0)</f>
        <v>ES</v>
      </c>
      <c r="F233" s="23">
        <f>VLOOKUP(D233,'Org Setup'!A:D,4,0)</f>
        <v>5.0999999999999996</v>
      </c>
    </row>
    <row r="234" spans="1:6" x14ac:dyDescent="0.3">
      <c r="A234" s="6">
        <v>1724947272201</v>
      </c>
      <c r="B234" s="6">
        <f t="shared" si="3"/>
        <v>1</v>
      </c>
      <c r="C234" s="19" t="s">
        <v>163</v>
      </c>
      <c r="D234" s="16" t="s">
        <v>202</v>
      </c>
      <c r="E234" s="19" t="str">
        <f>VLOOKUP(D234,'Org Setup'!A:B,2,0)</f>
        <v>IS (1)</v>
      </c>
      <c r="F234" s="23">
        <f>VLOOKUP(D234,'Org Setup'!A:D,4,0)</f>
        <v>5.0999999999999996</v>
      </c>
    </row>
    <row r="235" spans="1:6" x14ac:dyDescent="0.3">
      <c r="A235" s="6">
        <v>1724206370114</v>
      </c>
      <c r="B235" s="6">
        <f t="shared" si="3"/>
        <v>1</v>
      </c>
      <c r="C235" s="19" t="s">
        <v>163</v>
      </c>
      <c r="D235" s="16" t="s">
        <v>202</v>
      </c>
      <c r="E235" s="19" t="str">
        <f>VLOOKUP(D235,'Org Setup'!A:B,2,0)</f>
        <v>IS (1)</v>
      </c>
      <c r="F235" s="23">
        <f>VLOOKUP(D235,'Org Setup'!A:D,4,0)</f>
        <v>5.0999999999999996</v>
      </c>
    </row>
    <row r="236" spans="1:6" x14ac:dyDescent="0.3">
      <c r="A236" s="6">
        <v>1723614334316</v>
      </c>
      <c r="B236" s="6">
        <f t="shared" si="3"/>
        <v>1</v>
      </c>
      <c r="C236" s="19" t="s">
        <v>163</v>
      </c>
      <c r="D236" s="3" t="s">
        <v>209</v>
      </c>
      <c r="E236" s="19" t="str">
        <f>VLOOKUP(D236,'Org Setup'!A:B,2,0)</f>
        <v>ES</v>
      </c>
      <c r="F236" s="23">
        <f>VLOOKUP(D236,'Org Setup'!A:D,4,0)</f>
        <v>5.0999999999999996</v>
      </c>
    </row>
    <row r="237" spans="1:6" x14ac:dyDescent="0.3">
      <c r="A237" s="6">
        <v>1720193222639</v>
      </c>
      <c r="B237" s="6">
        <f t="shared" si="3"/>
        <v>1</v>
      </c>
      <c r="C237" s="19" t="s">
        <v>163</v>
      </c>
      <c r="D237" s="16" t="s">
        <v>202</v>
      </c>
      <c r="E237" s="19" t="str">
        <f>VLOOKUP(D237,'Org Setup'!A:B,2,0)</f>
        <v>IS (1)</v>
      </c>
      <c r="F237" s="23">
        <f>VLOOKUP(D237,'Org Setup'!A:D,4,0)</f>
        <v>5.0999999999999996</v>
      </c>
    </row>
    <row r="238" spans="1:6" x14ac:dyDescent="0.3">
      <c r="A238" s="6">
        <v>1717370364403</v>
      </c>
      <c r="B238" s="6">
        <f t="shared" si="3"/>
        <v>1</v>
      </c>
      <c r="C238" s="19" t="s">
        <v>240</v>
      </c>
      <c r="D238" s="3" t="s">
        <v>276</v>
      </c>
      <c r="E238" s="19" t="str">
        <f>VLOOKUP(D238,'Org Setup'!A:B,2,0)</f>
        <v>IS (1)</v>
      </c>
      <c r="F238" s="23">
        <f>VLOOKUP(D238,'Org Setup'!A:D,4,0)</f>
        <v>5.0999999999999996</v>
      </c>
    </row>
    <row r="239" spans="1:6" x14ac:dyDescent="0.3">
      <c r="A239" s="6">
        <v>1717302255157</v>
      </c>
      <c r="B239" s="6">
        <f t="shared" si="3"/>
        <v>1</v>
      </c>
      <c r="C239" s="19" t="s">
        <v>240</v>
      </c>
      <c r="D239" s="3" t="s">
        <v>293</v>
      </c>
      <c r="E239" s="19" t="str">
        <f>VLOOKUP(D239,'Org Setup'!A:B,2,0)</f>
        <v>ES</v>
      </c>
      <c r="F239" s="23">
        <f>VLOOKUP(D239,'Org Setup'!A:D,4,0)</f>
        <v>5.0999999999999996</v>
      </c>
    </row>
    <row r="240" spans="1:6" x14ac:dyDescent="0.3">
      <c r="A240" s="6">
        <v>1717135975009</v>
      </c>
      <c r="B240" s="6">
        <f t="shared" si="3"/>
        <v>1</v>
      </c>
      <c r="C240" s="19" t="s">
        <v>240</v>
      </c>
      <c r="D240" s="3" t="s">
        <v>293</v>
      </c>
      <c r="E240" s="19" t="str">
        <f>VLOOKUP(D240,'Org Setup'!A:B,2,0)</f>
        <v>ES</v>
      </c>
      <c r="F240" s="23">
        <f>VLOOKUP(D240,'Org Setup'!A:D,4,0)</f>
        <v>5.0999999999999996</v>
      </c>
    </row>
    <row r="241" spans="1:10" x14ac:dyDescent="0.3">
      <c r="A241" s="6">
        <v>1717111086005</v>
      </c>
      <c r="B241" s="6">
        <f t="shared" si="3"/>
        <v>1</v>
      </c>
      <c r="C241" s="19" t="s">
        <v>240</v>
      </c>
      <c r="D241" s="3" t="s">
        <v>276</v>
      </c>
      <c r="E241" s="19" t="str">
        <f>VLOOKUP(D241,'Org Setup'!A:B,2,0)</f>
        <v>IS (1)</v>
      </c>
      <c r="F241" s="23">
        <f>VLOOKUP(D241,'Org Setup'!A:D,4,0)</f>
        <v>5.0999999999999996</v>
      </c>
    </row>
    <row r="242" spans="1:10" x14ac:dyDescent="0.3">
      <c r="A242" s="6">
        <v>1717050023105</v>
      </c>
      <c r="B242" s="6">
        <f t="shared" si="3"/>
        <v>1</v>
      </c>
      <c r="C242" s="19" t="s">
        <v>163</v>
      </c>
      <c r="D242" s="3" t="s">
        <v>209</v>
      </c>
      <c r="E242" s="19" t="str">
        <f>VLOOKUP(D242,'Org Setup'!A:B,2,0)</f>
        <v>ES</v>
      </c>
      <c r="F242" s="23">
        <f>VLOOKUP(D242,'Org Setup'!A:D,4,0)</f>
        <v>5.0999999999999996</v>
      </c>
    </row>
    <row r="243" spans="1:10" x14ac:dyDescent="0.3">
      <c r="A243" s="6">
        <v>1717011024350</v>
      </c>
      <c r="B243" s="6">
        <f t="shared" si="3"/>
        <v>1</v>
      </c>
      <c r="C243" s="19" t="s">
        <v>163</v>
      </c>
      <c r="D243" s="3" t="s">
        <v>209</v>
      </c>
      <c r="E243" s="19" t="str">
        <f>VLOOKUP(D243,'Org Setup'!A:B,2,0)</f>
        <v>ES</v>
      </c>
      <c r="F243" s="23">
        <f>VLOOKUP(D243,'Org Setup'!A:D,4,0)</f>
        <v>5.0999999999999996</v>
      </c>
    </row>
    <row r="244" spans="1:10" x14ac:dyDescent="0.3">
      <c r="A244" s="6">
        <v>1716894376003</v>
      </c>
      <c r="B244" s="6">
        <f t="shared" si="3"/>
        <v>1</v>
      </c>
      <c r="C244" s="19" t="s">
        <v>163</v>
      </c>
      <c r="D244" s="3" t="s">
        <v>209</v>
      </c>
      <c r="E244" s="19" t="str">
        <f>VLOOKUP(D244,'Org Setup'!A:B,2,0)</f>
        <v>ES</v>
      </c>
      <c r="F244" s="23">
        <f>VLOOKUP(D244,'Org Setup'!A:D,4,0)</f>
        <v>5.0999999999999996</v>
      </c>
    </row>
    <row r="245" spans="1:10" x14ac:dyDescent="0.3">
      <c r="A245" s="6">
        <v>1716866222702</v>
      </c>
      <c r="B245" s="6">
        <f t="shared" si="3"/>
        <v>1</v>
      </c>
      <c r="C245" s="19" t="s">
        <v>163</v>
      </c>
      <c r="D245" s="3" t="s">
        <v>209</v>
      </c>
      <c r="E245" s="19" t="str">
        <f>VLOOKUP(D245,'Org Setup'!A:B,2,0)</f>
        <v>ES</v>
      </c>
      <c r="F245" s="23">
        <f>VLOOKUP(D245,'Org Setup'!A:D,4,0)</f>
        <v>5.0999999999999996</v>
      </c>
    </row>
    <row r="246" spans="1:10" x14ac:dyDescent="0.3">
      <c r="A246" s="6">
        <v>1716849674332</v>
      </c>
      <c r="B246" s="6">
        <f t="shared" si="3"/>
        <v>1</v>
      </c>
      <c r="C246" s="19" t="s">
        <v>163</v>
      </c>
      <c r="D246" s="16" t="s">
        <v>202</v>
      </c>
      <c r="E246" s="19" t="str">
        <f>VLOOKUP(D246,'Org Setup'!A:B,2,0)</f>
        <v>IS (1)</v>
      </c>
      <c r="F246" s="23">
        <f>VLOOKUP(D246,'Org Setup'!A:D,4,0)</f>
        <v>5.0999999999999996</v>
      </c>
    </row>
    <row r="247" spans="1:10" x14ac:dyDescent="0.3">
      <c r="A247" s="6">
        <v>1716849672006</v>
      </c>
      <c r="B247" s="6">
        <f t="shared" si="3"/>
        <v>1</v>
      </c>
      <c r="C247" s="19" t="s">
        <v>163</v>
      </c>
      <c r="D247" s="3" t="s">
        <v>209</v>
      </c>
      <c r="E247" s="19" t="str">
        <f>VLOOKUP(D247,'Org Setup'!A:B,2,0)</f>
        <v>ES</v>
      </c>
      <c r="F247" s="23">
        <f>VLOOKUP(D247,'Org Setup'!A:D,4,0)</f>
        <v>5.0999999999999996</v>
      </c>
    </row>
    <row r="248" spans="1:10" x14ac:dyDescent="0.3">
      <c r="A248" s="6">
        <v>1716849671800</v>
      </c>
      <c r="B248" s="6">
        <f t="shared" si="3"/>
        <v>1</v>
      </c>
      <c r="C248" s="19" t="s">
        <v>163</v>
      </c>
      <c r="D248" s="16" t="s">
        <v>202</v>
      </c>
      <c r="E248" s="19" t="str">
        <f>VLOOKUP(D248,'Org Setup'!A:B,2,0)</f>
        <v>IS (1)</v>
      </c>
      <c r="F248" s="23">
        <f>VLOOKUP(D248,'Org Setup'!A:D,4,0)</f>
        <v>5.0999999999999996</v>
      </c>
    </row>
    <row r="249" spans="1:10" x14ac:dyDescent="0.3">
      <c r="A249" s="6">
        <v>1716847543521</v>
      </c>
      <c r="B249" s="6">
        <f t="shared" si="3"/>
        <v>1</v>
      </c>
      <c r="C249" s="19" t="s">
        <v>163</v>
      </c>
      <c r="D249" s="3" t="s">
        <v>209</v>
      </c>
      <c r="E249" s="19" t="str">
        <f>VLOOKUP(D249,'Org Setup'!A:B,2,0)</f>
        <v>ES</v>
      </c>
      <c r="F249" s="23">
        <f>VLOOKUP(D249,'Org Setup'!A:D,4,0)</f>
        <v>5.0999999999999996</v>
      </c>
    </row>
    <row r="250" spans="1:10" x14ac:dyDescent="0.3">
      <c r="A250" s="6">
        <v>1716840663003</v>
      </c>
      <c r="B250" s="6">
        <f t="shared" si="3"/>
        <v>1</v>
      </c>
      <c r="C250" s="19" t="s">
        <v>163</v>
      </c>
      <c r="D250" s="3" t="s">
        <v>209</v>
      </c>
      <c r="E250" s="19" t="str">
        <f>VLOOKUP(D250,'Org Setup'!A:B,2,0)</f>
        <v>ES</v>
      </c>
      <c r="F250" s="23">
        <f>VLOOKUP(D250,'Org Setup'!A:D,4,0)</f>
        <v>5.0999999999999996</v>
      </c>
    </row>
    <row r="251" spans="1:10" x14ac:dyDescent="0.3">
      <c r="A251" s="6">
        <v>1716840588001</v>
      </c>
      <c r="B251" s="6">
        <f t="shared" si="3"/>
        <v>1</v>
      </c>
      <c r="C251" s="19" t="s">
        <v>163</v>
      </c>
      <c r="D251" s="3" t="s">
        <v>209</v>
      </c>
      <c r="E251" s="19" t="str">
        <f>VLOOKUP(D251,'Org Setup'!A:B,2,0)</f>
        <v>ES</v>
      </c>
      <c r="F251" s="23">
        <f>VLOOKUP(D251,'Org Setup'!A:D,4,0)</f>
        <v>5.0999999999999996</v>
      </c>
    </row>
    <row r="252" spans="1:10" x14ac:dyDescent="0.3">
      <c r="A252" s="6">
        <v>1716840312506</v>
      </c>
      <c r="B252" s="6">
        <f t="shared" si="3"/>
        <v>1</v>
      </c>
      <c r="C252" s="19" t="s">
        <v>163</v>
      </c>
      <c r="D252" s="3" t="s">
        <v>209</v>
      </c>
      <c r="E252" s="19" t="str">
        <f>VLOOKUP(D252,'Org Setup'!A:B,2,0)</f>
        <v>ES</v>
      </c>
      <c r="F252" s="23">
        <f>VLOOKUP(D252,'Org Setup'!A:D,4,0)</f>
        <v>5.0999999999999996</v>
      </c>
    </row>
    <row r="253" spans="1:10" x14ac:dyDescent="0.3">
      <c r="A253" s="6">
        <v>1716767312005</v>
      </c>
      <c r="B253" s="6">
        <f t="shared" si="3"/>
        <v>1</v>
      </c>
      <c r="C253" s="19" t="s">
        <v>163</v>
      </c>
      <c r="D253" s="3" t="s">
        <v>209</v>
      </c>
      <c r="E253" s="19" t="str">
        <f>VLOOKUP(D253,'Org Setup'!A:B,2,0)</f>
        <v>ES</v>
      </c>
      <c r="F253" s="23">
        <f>VLOOKUP(D253,'Org Setup'!A:D,4,0)</f>
        <v>5.0999999999999996</v>
      </c>
    </row>
    <row r="254" spans="1:10" x14ac:dyDescent="0.3">
      <c r="A254" s="6">
        <v>1716675448959</v>
      </c>
      <c r="B254" s="6">
        <f t="shared" si="3"/>
        <v>1</v>
      </c>
      <c r="C254" s="19" t="s">
        <v>163</v>
      </c>
      <c r="D254" s="16" t="s">
        <v>202</v>
      </c>
      <c r="E254" s="19" t="str">
        <f>VLOOKUP(D254,'Org Setup'!A:B,2,0)</f>
        <v>IS (1)</v>
      </c>
      <c r="F254" s="23">
        <f>VLOOKUP(D254,'Org Setup'!A:D,4,0)</f>
        <v>5.0999999999999996</v>
      </c>
    </row>
    <row r="255" spans="1:10" ht="43.2" x14ac:dyDescent="0.3">
      <c r="A255" s="6">
        <v>1716601773505</v>
      </c>
      <c r="B255" s="6">
        <f t="shared" si="3"/>
        <v>1</v>
      </c>
      <c r="C255" s="19" t="s">
        <v>240</v>
      </c>
      <c r="D255" s="3" t="s">
        <v>276</v>
      </c>
      <c r="E255" s="19" t="str">
        <f>VLOOKUP(D255,'Org Setup'!A:B,2,0)</f>
        <v>IS (1)</v>
      </c>
      <c r="F255" s="23">
        <v>3.1</v>
      </c>
      <c r="G255" s="36" t="s">
        <v>408</v>
      </c>
      <c r="H255" s="40" t="s">
        <v>409</v>
      </c>
      <c r="I255" s="9" t="s">
        <v>391</v>
      </c>
      <c r="J255" s="31" t="s">
        <v>410</v>
      </c>
    </row>
    <row r="256" spans="1:10" x14ac:dyDescent="0.3">
      <c r="A256" s="6">
        <v>1716432951409</v>
      </c>
      <c r="B256" s="6">
        <f t="shared" si="3"/>
        <v>1</v>
      </c>
      <c r="C256" s="19" t="s">
        <v>163</v>
      </c>
      <c r="D256" s="16" t="s">
        <v>202</v>
      </c>
      <c r="E256" s="19" t="str">
        <f>VLOOKUP(D256,'Org Setup'!A:B,2,0)</f>
        <v>IS (1)</v>
      </c>
      <c r="F256" s="23">
        <f>VLOOKUP(D256,'Org Setup'!A:D,4,0)</f>
        <v>5.0999999999999996</v>
      </c>
    </row>
    <row r="257" spans="1:8" x14ac:dyDescent="0.3">
      <c r="A257" s="6">
        <v>1716410342000</v>
      </c>
      <c r="B257" s="6">
        <f t="shared" si="3"/>
        <v>1</v>
      </c>
      <c r="C257" s="19" t="s">
        <v>163</v>
      </c>
      <c r="D257" s="16" t="s">
        <v>202</v>
      </c>
      <c r="E257" s="19" t="str">
        <f>VLOOKUP(D257,'Org Setup'!A:B,2,0)</f>
        <v>IS (1)</v>
      </c>
      <c r="F257" s="23">
        <f>VLOOKUP(D257,'Org Setup'!A:D,4,0)</f>
        <v>5.0999999999999996</v>
      </c>
    </row>
    <row r="258" spans="1:8" x14ac:dyDescent="0.3">
      <c r="A258" s="6">
        <v>1716333191201</v>
      </c>
      <c r="B258" s="6">
        <f t="shared" si="3"/>
        <v>1</v>
      </c>
      <c r="C258" s="19" t="s">
        <v>163</v>
      </c>
      <c r="D258" s="16" t="s">
        <v>202</v>
      </c>
      <c r="E258" s="19" t="str">
        <f>VLOOKUP(D258,'Org Setup'!A:B,2,0)</f>
        <v>IS (1)</v>
      </c>
      <c r="F258" s="23">
        <f>VLOOKUP(D258,'Org Setup'!A:D,4,0)</f>
        <v>5.0999999999999996</v>
      </c>
    </row>
    <row r="259" spans="1:8" x14ac:dyDescent="0.3">
      <c r="A259" s="6">
        <v>1716330613504</v>
      </c>
      <c r="B259" s="6">
        <f t="shared" ref="B259:B322" si="4">COUNTIF(A$2:A$411,A259)</f>
        <v>1</v>
      </c>
      <c r="C259" s="19" t="s">
        <v>163</v>
      </c>
      <c r="D259" s="3" t="s">
        <v>209</v>
      </c>
      <c r="E259" s="19" t="str">
        <f>VLOOKUP(D259,'Org Setup'!A:B,2,0)</f>
        <v>ES</v>
      </c>
      <c r="F259" s="23">
        <f>VLOOKUP(D259,'Org Setup'!A:D,4,0)</f>
        <v>5.0999999999999996</v>
      </c>
    </row>
    <row r="260" spans="1:8" x14ac:dyDescent="0.3">
      <c r="A260" s="6">
        <v>1716271115806</v>
      </c>
      <c r="B260" s="6">
        <f t="shared" si="4"/>
        <v>1</v>
      </c>
      <c r="C260" s="19" t="s">
        <v>163</v>
      </c>
      <c r="D260" s="16" t="s">
        <v>202</v>
      </c>
      <c r="E260" s="19" t="str">
        <f>VLOOKUP(D260,'Org Setup'!A:B,2,0)</f>
        <v>IS (1)</v>
      </c>
      <c r="F260" s="23">
        <f>VLOOKUP(D260,'Org Setup'!A:D,4,0)</f>
        <v>5.0999999999999996</v>
      </c>
    </row>
    <row r="261" spans="1:8" x14ac:dyDescent="0.3">
      <c r="A261" s="6">
        <v>1716258400606</v>
      </c>
      <c r="B261" s="6">
        <f t="shared" si="4"/>
        <v>1</v>
      </c>
      <c r="C261" s="19" t="s">
        <v>163</v>
      </c>
      <c r="D261" s="16" t="s">
        <v>202</v>
      </c>
      <c r="E261" s="19" t="str">
        <f>VLOOKUP(D261,'Org Setup'!A:B,2,0)</f>
        <v>IS (1)</v>
      </c>
      <c r="F261" s="23">
        <f>VLOOKUP(D261,'Org Setup'!A:D,4,0)</f>
        <v>5.0999999999999996</v>
      </c>
    </row>
    <row r="262" spans="1:8" x14ac:dyDescent="0.3">
      <c r="A262" s="6">
        <v>1716257164804</v>
      </c>
      <c r="B262" s="6">
        <f t="shared" si="4"/>
        <v>1</v>
      </c>
      <c r="C262" s="19" t="s">
        <v>163</v>
      </c>
      <c r="D262" s="3" t="s">
        <v>209</v>
      </c>
      <c r="E262" s="19" t="str">
        <f>VLOOKUP(D262,'Org Setup'!A:B,2,0)</f>
        <v>ES</v>
      </c>
      <c r="F262" s="23">
        <f>VLOOKUP(D262,'Org Setup'!A:D,4,0)</f>
        <v>5.0999999999999996</v>
      </c>
    </row>
    <row r="263" spans="1:8" x14ac:dyDescent="0.3">
      <c r="A263" s="6">
        <v>1716257140307</v>
      </c>
      <c r="B263" s="6">
        <f t="shared" si="4"/>
        <v>1</v>
      </c>
      <c r="C263" s="19" t="s">
        <v>163</v>
      </c>
      <c r="D263" s="16" t="s">
        <v>202</v>
      </c>
      <c r="E263" s="19" t="str">
        <f>VLOOKUP(D263,'Org Setup'!A:B,2,0)</f>
        <v>IS (1)</v>
      </c>
      <c r="F263" s="23">
        <f>VLOOKUP(D263,'Org Setup'!A:D,4,0)</f>
        <v>5.0999999999999996</v>
      </c>
    </row>
    <row r="264" spans="1:8" x14ac:dyDescent="0.3">
      <c r="A264" s="6">
        <v>1716257092850</v>
      </c>
      <c r="B264" s="6">
        <f t="shared" si="4"/>
        <v>1</v>
      </c>
      <c r="C264" s="19" t="s">
        <v>163</v>
      </c>
      <c r="D264" s="3" t="s">
        <v>209</v>
      </c>
      <c r="E264" s="19" t="str">
        <f>VLOOKUP(D264,'Org Setup'!A:B,2,0)</f>
        <v>ES</v>
      </c>
      <c r="F264" s="23">
        <f>VLOOKUP(D264,'Org Setup'!A:D,4,0)</f>
        <v>5.0999999999999996</v>
      </c>
      <c r="G264" s="19"/>
      <c r="H264" s="19"/>
    </row>
    <row r="265" spans="1:8" x14ac:dyDescent="0.3">
      <c r="A265" s="6">
        <v>1716256836100</v>
      </c>
      <c r="B265" s="6">
        <f t="shared" si="4"/>
        <v>1</v>
      </c>
      <c r="C265" s="19" t="s">
        <v>163</v>
      </c>
      <c r="D265" s="3" t="s">
        <v>209</v>
      </c>
      <c r="E265" s="19" t="str">
        <f>VLOOKUP(D265,'Org Setup'!A:B,2,0)</f>
        <v>ES</v>
      </c>
      <c r="F265" s="23">
        <f>VLOOKUP(D265,'Org Setup'!A:D,4,0)</f>
        <v>5.0999999999999996</v>
      </c>
      <c r="G265" s="19"/>
      <c r="H265" s="19"/>
    </row>
    <row r="266" spans="1:8" x14ac:dyDescent="0.3">
      <c r="A266" s="6">
        <v>1716256801409</v>
      </c>
      <c r="B266" s="6">
        <f t="shared" si="4"/>
        <v>1</v>
      </c>
      <c r="C266" s="19" t="s">
        <v>163</v>
      </c>
      <c r="D266" s="16" t="s">
        <v>202</v>
      </c>
      <c r="E266" s="19" t="str">
        <f>VLOOKUP(D266,'Org Setup'!A:B,2,0)</f>
        <v>IS (1)</v>
      </c>
      <c r="F266" s="23">
        <f>VLOOKUP(D266,'Org Setup'!A:D,4,0)</f>
        <v>5.0999999999999996</v>
      </c>
      <c r="G266" s="19"/>
      <c r="H266" s="19"/>
    </row>
    <row r="267" spans="1:8" x14ac:dyDescent="0.3">
      <c r="A267" s="6">
        <v>1716255313457</v>
      </c>
      <c r="B267" s="6">
        <f t="shared" si="4"/>
        <v>1</v>
      </c>
      <c r="C267" s="19" t="s">
        <v>163</v>
      </c>
      <c r="D267" s="3" t="s">
        <v>209</v>
      </c>
      <c r="E267" s="19" t="str">
        <f>VLOOKUP(D267,'Org Setup'!A:B,2,0)</f>
        <v>ES</v>
      </c>
      <c r="F267" s="23">
        <f>VLOOKUP(D267,'Org Setup'!A:D,4,0)</f>
        <v>5.0999999999999996</v>
      </c>
    </row>
    <row r="268" spans="1:8" x14ac:dyDescent="0.3">
      <c r="A268" s="6">
        <v>1716254252101</v>
      </c>
      <c r="B268" s="6">
        <f t="shared" si="4"/>
        <v>1</v>
      </c>
      <c r="C268" s="19" t="s">
        <v>163</v>
      </c>
      <c r="D268" s="3" t="s">
        <v>209</v>
      </c>
      <c r="E268" s="19" t="str">
        <f>VLOOKUP(D268,'Org Setup'!A:B,2,0)</f>
        <v>ES</v>
      </c>
      <c r="F268" s="23">
        <f>VLOOKUP(D268,'Org Setup'!A:D,4,0)</f>
        <v>5.0999999999999996</v>
      </c>
    </row>
    <row r="269" spans="1:8" x14ac:dyDescent="0.3">
      <c r="A269" s="6">
        <v>1716146212827</v>
      </c>
      <c r="B269" s="6">
        <f t="shared" si="4"/>
        <v>1</v>
      </c>
      <c r="C269" s="19" t="s">
        <v>163</v>
      </c>
      <c r="D269" s="16" t="s">
        <v>202</v>
      </c>
      <c r="E269" s="19" t="str">
        <f>VLOOKUP(D269,'Org Setup'!A:B,2,0)</f>
        <v>IS (1)</v>
      </c>
      <c r="F269" s="23">
        <f>VLOOKUP(D269,'Org Setup'!A:D,4,0)</f>
        <v>5.0999999999999996</v>
      </c>
      <c r="G269" s="19"/>
      <c r="H269" s="19"/>
    </row>
    <row r="270" spans="1:8" x14ac:dyDescent="0.3">
      <c r="A270" s="6">
        <v>1716146212720</v>
      </c>
      <c r="B270" s="6">
        <f t="shared" si="4"/>
        <v>1</v>
      </c>
      <c r="C270" s="19" t="s">
        <v>163</v>
      </c>
      <c r="D270" s="16" t="s">
        <v>202</v>
      </c>
      <c r="E270" s="19" t="str">
        <f>VLOOKUP(D270,'Org Setup'!A:B,2,0)</f>
        <v>IS (1)</v>
      </c>
      <c r="F270" s="23">
        <f>VLOOKUP(D270,'Org Setup'!A:D,4,0)</f>
        <v>5.0999999999999996</v>
      </c>
    </row>
    <row r="271" spans="1:8" x14ac:dyDescent="0.3">
      <c r="A271" s="6">
        <v>1716138515422</v>
      </c>
      <c r="B271" s="6">
        <f t="shared" si="4"/>
        <v>1</v>
      </c>
      <c r="C271" s="19" t="s">
        <v>163</v>
      </c>
      <c r="D271" s="3" t="s">
        <v>209</v>
      </c>
      <c r="E271" s="19" t="str">
        <f>VLOOKUP(D271,'Org Setup'!A:B,2,0)</f>
        <v>ES</v>
      </c>
      <c r="F271" s="23">
        <f>VLOOKUP(D271,'Org Setup'!A:D,4,0)</f>
        <v>5.0999999999999996</v>
      </c>
      <c r="G271" s="19"/>
      <c r="H271" s="19"/>
    </row>
    <row r="272" spans="1:8" x14ac:dyDescent="0.3">
      <c r="A272" s="6">
        <v>1716138172727</v>
      </c>
      <c r="B272" s="6">
        <f t="shared" si="4"/>
        <v>1</v>
      </c>
      <c r="C272" s="19" t="s">
        <v>163</v>
      </c>
      <c r="D272" s="16" t="s">
        <v>202</v>
      </c>
      <c r="E272" s="19" t="str">
        <f>VLOOKUP(D272,'Org Setup'!A:B,2,0)</f>
        <v>IS (1)</v>
      </c>
      <c r="F272" s="23">
        <f>VLOOKUP(D272,'Org Setup'!A:D,4,0)</f>
        <v>5.0999999999999996</v>
      </c>
    </row>
    <row r="273" spans="1:6" x14ac:dyDescent="0.3">
      <c r="A273" s="6">
        <v>1716131121025</v>
      </c>
      <c r="B273" s="6">
        <f t="shared" si="4"/>
        <v>1</v>
      </c>
      <c r="C273" s="19" t="s">
        <v>163</v>
      </c>
      <c r="D273" s="3" t="s">
        <v>209</v>
      </c>
      <c r="E273" s="19" t="str">
        <f>VLOOKUP(D273,'Org Setup'!A:B,2,0)</f>
        <v>ES</v>
      </c>
      <c r="F273" s="23">
        <f>VLOOKUP(D273,'Org Setup'!A:D,4,0)</f>
        <v>5.0999999999999996</v>
      </c>
    </row>
    <row r="274" spans="1:6" x14ac:dyDescent="0.3">
      <c r="A274" s="6">
        <v>1716130794457</v>
      </c>
      <c r="B274" s="6">
        <f t="shared" si="4"/>
        <v>1</v>
      </c>
      <c r="C274" s="19" t="s">
        <v>163</v>
      </c>
      <c r="D274" s="16" t="s">
        <v>202</v>
      </c>
      <c r="E274" s="19" t="str">
        <f>VLOOKUP(D274,'Org Setup'!A:B,2,0)</f>
        <v>IS (1)</v>
      </c>
      <c r="F274" s="23">
        <f>VLOOKUP(D274,'Org Setup'!A:D,4,0)</f>
        <v>5.0999999999999996</v>
      </c>
    </row>
    <row r="275" spans="1:6" x14ac:dyDescent="0.3">
      <c r="A275" s="6">
        <v>1716130350222</v>
      </c>
      <c r="B275" s="6">
        <f t="shared" si="4"/>
        <v>1</v>
      </c>
      <c r="C275" s="19" t="s">
        <v>163</v>
      </c>
      <c r="D275" s="3" t="s">
        <v>209</v>
      </c>
      <c r="E275" s="19" t="str">
        <f>VLOOKUP(D275,'Org Setup'!A:B,2,0)</f>
        <v>ES</v>
      </c>
      <c r="F275" s="23">
        <f>VLOOKUP(D275,'Org Setup'!A:D,4,0)</f>
        <v>5.0999999999999996</v>
      </c>
    </row>
    <row r="276" spans="1:6" x14ac:dyDescent="0.3">
      <c r="A276" s="6">
        <v>1716117754800</v>
      </c>
      <c r="B276" s="6">
        <f t="shared" si="4"/>
        <v>1</v>
      </c>
      <c r="C276" s="19" t="s">
        <v>163</v>
      </c>
      <c r="D276" s="3" t="s">
        <v>209</v>
      </c>
      <c r="E276" s="19" t="str">
        <f>VLOOKUP(D276,'Org Setup'!A:B,2,0)</f>
        <v>ES</v>
      </c>
      <c r="F276" s="23">
        <f>VLOOKUP(D276,'Org Setup'!A:D,4,0)</f>
        <v>5.0999999999999996</v>
      </c>
    </row>
    <row r="277" spans="1:6" x14ac:dyDescent="0.3">
      <c r="A277" s="6">
        <v>1716112512900</v>
      </c>
      <c r="B277" s="6">
        <f t="shared" si="4"/>
        <v>1</v>
      </c>
      <c r="C277" s="19" t="s">
        <v>163</v>
      </c>
      <c r="D277" s="3" t="s">
        <v>209</v>
      </c>
      <c r="E277" s="19" t="str">
        <f>VLOOKUP(D277,'Org Setup'!A:B,2,0)</f>
        <v>ES</v>
      </c>
      <c r="F277" s="23">
        <f>VLOOKUP(D277,'Org Setup'!A:D,4,0)</f>
        <v>5.0999999999999996</v>
      </c>
    </row>
    <row r="278" spans="1:6" x14ac:dyDescent="0.3">
      <c r="A278" s="6">
        <v>1716112301409</v>
      </c>
      <c r="B278" s="6">
        <f t="shared" si="4"/>
        <v>1</v>
      </c>
      <c r="C278" s="19" t="s">
        <v>163</v>
      </c>
      <c r="D278" s="3" t="s">
        <v>209</v>
      </c>
      <c r="E278" s="19" t="str">
        <f>VLOOKUP(D278,'Org Setup'!A:B,2,0)</f>
        <v>ES</v>
      </c>
      <c r="F278" s="23">
        <f>VLOOKUP(D278,'Org Setup'!A:D,4,0)</f>
        <v>5.0999999999999996</v>
      </c>
    </row>
    <row r="279" spans="1:6" x14ac:dyDescent="0.3">
      <c r="A279" s="6">
        <v>1716100403209</v>
      </c>
      <c r="B279" s="6">
        <f t="shared" si="4"/>
        <v>1</v>
      </c>
      <c r="C279" s="19" t="s">
        <v>163</v>
      </c>
      <c r="D279" s="3" t="s">
        <v>209</v>
      </c>
      <c r="E279" s="19" t="str">
        <f>VLOOKUP(D279,'Org Setup'!A:B,2,0)</f>
        <v>ES</v>
      </c>
      <c r="F279" s="23">
        <f>VLOOKUP(D279,'Org Setup'!A:D,4,0)</f>
        <v>5.0999999999999996</v>
      </c>
    </row>
    <row r="280" spans="1:6" x14ac:dyDescent="0.3">
      <c r="A280" s="6">
        <v>1716080124806</v>
      </c>
      <c r="B280" s="6">
        <f t="shared" si="4"/>
        <v>1</v>
      </c>
      <c r="C280" s="19" t="s">
        <v>163</v>
      </c>
      <c r="D280" s="16" t="s">
        <v>202</v>
      </c>
      <c r="E280" s="19" t="str">
        <f>VLOOKUP(D280,'Org Setup'!A:B,2,0)</f>
        <v>IS (1)</v>
      </c>
      <c r="F280" s="23">
        <f>VLOOKUP(D280,'Org Setup'!A:D,4,0)</f>
        <v>5.0999999999999996</v>
      </c>
    </row>
    <row r="281" spans="1:6" x14ac:dyDescent="0.3">
      <c r="A281" s="6">
        <v>1716079400178</v>
      </c>
      <c r="B281" s="6">
        <f t="shared" si="4"/>
        <v>1</v>
      </c>
      <c r="C281" s="19" t="s">
        <v>163</v>
      </c>
      <c r="D281" s="3" t="s">
        <v>209</v>
      </c>
      <c r="E281" s="19" t="str">
        <f>VLOOKUP(D281,'Org Setup'!A:B,2,0)</f>
        <v>ES</v>
      </c>
      <c r="F281" s="23">
        <f>VLOOKUP(D281,'Org Setup'!A:D,4,0)</f>
        <v>5.0999999999999996</v>
      </c>
    </row>
    <row r="282" spans="1:6" x14ac:dyDescent="0.3">
      <c r="A282" s="6">
        <v>1716078254408</v>
      </c>
      <c r="B282" s="6">
        <f t="shared" si="4"/>
        <v>1</v>
      </c>
      <c r="C282" s="19" t="s">
        <v>163</v>
      </c>
      <c r="D282" s="3" t="s">
        <v>209</v>
      </c>
      <c r="E282" s="19" t="str">
        <f>VLOOKUP(D282,'Org Setup'!A:B,2,0)</f>
        <v>ES</v>
      </c>
      <c r="F282" s="23">
        <f>VLOOKUP(D282,'Org Setup'!A:D,4,0)</f>
        <v>5.0999999999999996</v>
      </c>
    </row>
    <row r="283" spans="1:6" x14ac:dyDescent="0.3">
      <c r="A283" s="6">
        <v>1716075662304</v>
      </c>
      <c r="B283" s="6">
        <f t="shared" si="4"/>
        <v>1</v>
      </c>
      <c r="C283" s="19" t="s">
        <v>163</v>
      </c>
      <c r="D283" s="3" t="s">
        <v>209</v>
      </c>
      <c r="E283" s="19" t="str">
        <f>VLOOKUP(D283,'Org Setup'!A:B,2,0)</f>
        <v>ES</v>
      </c>
      <c r="F283" s="23">
        <f>VLOOKUP(D283,'Org Setup'!A:D,4,0)</f>
        <v>5.0999999999999996</v>
      </c>
    </row>
    <row r="284" spans="1:6" x14ac:dyDescent="0.3">
      <c r="A284" s="6">
        <v>1716075612828</v>
      </c>
      <c r="B284" s="6">
        <f t="shared" si="4"/>
        <v>1</v>
      </c>
      <c r="C284" s="19" t="s">
        <v>163</v>
      </c>
      <c r="D284" s="3" t="s">
        <v>209</v>
      </c>
      <c r="E284" s="19" t="str">
        <f>VLOOKUP(D284,'Org Setup'!A:B,2,0)</f>
        <v>ES</v>
      </c>
      <c r="F284" s="23">
        <f>VLOOKUP(D284,'Org Setup'!A:D,4,0)</f>
        <v>5.0999999999999996</v>
      </c>
    </row>
    <row r="285" spans="1:6" x14ac:dyDescent="0.3">
      <c r="A285" s="6">
        <v>1716075533404</v>
      </c>
      <c r="B285" s="6">
        <f t="shared" si="4"/>
        <v>1</v>
      </c>
      <c r="C285" s="19" t="s">
        <v>163</v>
      </c>
      <c r="D285" s="16" t="s">
        <v>202</v>
      </c>
      <c r="E285" s="19" t="str">
        <f>VLOOKUP(D285,'Org Setup'!A:B,2,0)</f>
        <v>IS (1)</v>
      </c>
      <c r="F285" s="23">
        <f>VLOOKUP(D285,'Org Setup'!A:D,4,0)</f>
        <v>5.0999999999999996</v>
      </c>
    </row>
    <row r="286" spans="1:6" x14ac:dyDescent="0.3">
      <c r="A286" s="6">
        <v>1716053645437</v>
      </c>
      <c r="B286" s="6">
        <f t="shared" si="4"/>
        <v>1</v>
      </c>
      <c r="C286" s="19" t="s">
        <v>163</v>
      </c>
      <c r="D286" s="3" t="s">
        <v>209</v>
      </c>
      <c r="E286" s="19" t="str">
        <f>VLOOKUP(D286,'Org Setup'!A:B,2,0)</f>
        <v>ES</v>
      </c>
      <c r="F286" s="23">
        <f>VLOOKUP(D286,'Org Setup'!A:D,4,0)</f>
        <v>5.0999999999999996</v>
      </c>
    </row>
    <row r="287" spans="1:6" x14ac:dyDescent="0.3">
      <c r="A287" s="6">
        <v>1716052723322</v>
      </c>
      <c r="B287" s="6">
        <f t="shared" si="4"/>
        <v>1</v>
      </c>
      <c r="C287" s="19" t="s">
        <v>163</v>
      </c>
      <c r="D287" s="3" t="s">
        <v>209</v>
      </c>
      <c r="E287" s="19" t="str">
        <f>VLOOKUP(D287,'Org Setup'!A:B,2,0)</f>
        <v>ES</v>
      </c>
      <c r="F287" s="23">
        <f>VLOOKUP(D287,'Org Setup'!A:D,4,0)</f>
        <v>5.0999999999999996</v>
      </c>
    </row>
    <row r="288" spans="1:6" x14ac:dyDescent="0.3">
      <c r="A288" s="6">
        <v>1716051561608</v>
      </c>
      <c r="B288" s="6">
        <f t="shared" si="4"/>
        <v>1</v>
      </c>
      <c r="C288" s="19" t="s">
        <v>163</v>
      </c>
      <c r="D288" s="3" t="s">
        <v>209</v>
      </c>
      <c r="E288" s="19" t="str">
        <f>VLOOKUP(D288,'Org Setup'!A:B,2,0)</f>
        <v>ES</v>
      </c>
      <c r="F288" s="23">
        <f>VLOOKUP(D288,'Org Setup'!A:D,4,0)</f>
        <v>5.0999999999999996</v>
      </c>
    </row>
    <row r="289" spans="1:6" x14ac:dyDescent="0.3">
      <c r="A289" s="6">
        <v>1716051013009</v>
      </c>
      <c r="B289" s="6">
        <f t="shared" si="4"/>
        <v>1</v>
      </c>
      <c r="C289" s="19" t="s">
        <v>163</v>
      </c>
      <c r="D289" s="16" t="s">
        <v>202</v>
      </c>
      <c r="E289" s="19" t="str">
        <f>VLOOKUP(D289,'Org Setup'!A:B,2,0)</f>
        <v>IS (1)</v>
      </c>
      <c r="F289" s="23">
        <f>VLOOKUP(D289,'Org Setup'!A:D,4,0)</f>
        <v>5.0999999999999996</v>
      </c>
    </row>
    <row r="290" spans="1:6" x14ac:dyDescent="0.3">
      <c r="A290" s="6">
        <v>1716046401024</v>
      </c>
      <c r="B290" s="6">
        <f t="shared" si="4"/>
        <v>1</v>
      </c>
      <c r="C290" s="19" t="s">
        <v>163</v>
      </c>
      <c r="D290" s="3" t="s">
        <v>209</v>
      </c>
      <c r="E290" s="19" t="str">
        <f>VLOOKUP(D290,'Org Setup'!A:B,2,0)</f>
        <v>ES</v>
      </c>
      <c r="F290" s="23">
        <f>VLOOKUP(D290,'Org Setup'!A:D,4,0)</f>
        <v>5.0999999999999996</v>
      </c>
    </row>
    <row r="291" spans="1:6" x14ac:dyDescent="0.3">
      <c r="A291" s="6">
        <v>1716045471509</v>
      </c>
      <c r="B291" s="6">
        <f t="shared" si="4"/>
        <v>1</v>
      </c>
      <c r="C291" s="19" t="s">
        <v>163</v>
      </c>
      <c r="D291" s="16" t="s">
        <v>202</v>
      </c>
      <c r="E291" s="19" t="str">
        <f>VLOOKUP(D291,'Org Setup'!A:B,2,0)</f>
        <v>IS (1)</v>
      </c>
      <c r="F291" s="23">
        <f>VLOOKUP(D291,'Org Setup'!A:D,4,0)</f>
        <v>5.0999999999999996</v>
      </c>
    </row>
    <row r="292" spans="1:6" x14ac:dyDescent="0.3">
      <c r="A292" s="6">
        <v>1716045251954</v>
      </c>
      <c r="B292" s="6">
        <f t="shared" si="4"/>
        <v>1</v>
      </c>
      <c r="C292" s="19" t="s">
        <v>163</v>
      </c>
      <c r="D292" s="16" t="s">
        <v>202</v>
      </c>
      <c r="E292" s="19" t="str">
        <f>VLOOKUP(D292,'Org Setup'!A:B,2,0)</f>
        <v>IS (1)</v>
      </c>
      <c r="F292" s="23">
        <f>VLOOKUP(D292,'Org Setup'!A:D,4,0)</f>
        <v>5.0999999999999996</v>
      </c>
    </row>
    <row r="293" spans="1:6" x14ac:dyDescent="0.3">
      <c r="A293" s="6">
        <v>1716041715030</v>
      </c>
      <c r="B293" s="6">
        <f t="shared" si="4"/>
        <v>1</v>
      </c>
      <c r="C293" s="19" t="s">
        <v>163</v>
      </c>
      <c r="D293" s="3" t="s">
        <v>209</v>
      </c>
      <c r="E293" s="19" t="str">
        <f>VLOOKUP(D293,'Org Setup'!A:B,2,0)</f>
        <v>ES</v>
      </c>
      <c r="F293" s="23">
        <f>VLOOKUP(D293,'Org Setup'!A:D,4,0)</f>
        <v>5.0999999999999996</v>
      </c>
    </row>
    <row r="294" spans="1:6" x14ac:dyDescent="0.3">
      <c r="A294" s="6">
        <v>1716041714524</v>
      </c>
      <c r="B294" s="6">
        <f t="shared" si="4"/>
        <v>1</v>
      </c>
      <c r="C294" s="19" t="s">
        <v>163</v>
      </c>
      <c r="D294" s="16" t="s">
        <v>202</v>
      </c>
      <c r="E294" s="19" t="str">
        <f>VLOOKUP(D294,'Org Setup'!A:B,2,0)</f>
        <v>IS (1)</v>
      </c>
      <c r="F294" s="23">
        <f>VLOOKUP(D294,'Org Setup'!A:D,4,0)</f>
        <v>5.0999999999999996</v>
      </c>
    </row>
    <row r="295" spans="1:6" x14ac:dyDescent="0.3">
      <c r="A295" s="6">
        <v>1716041665276</v>
      </c>
      <c r="B295" s="6">
        <f t="shared" si="4"/>
        <v>1</v>
      </c>
      <c r="C295" s="19" t="s">
        <v>163</v>
      </c>
      <c r="D295" s="16" t="s">
        <v>202</v>
      </c>
      <c r="E295" s="19" t="str">
        <f>VLOOKUP(D295,'Org Setup'!A:B,2,0)</f>
        <v>IS (1)</v>
      </c>
      <c r="F295" s="23">
        <f>VLOOKUP(D295,'Org Setup'!A:D,4,0)</f>
        <v>5.0999999999999996</v>
      </c>
    </row>
    <row r="296" spans="1:6" x14ac:dyDescent="0.3">
      <c r="A296" s="6">
        <v>1716041665080</v>
      </c>
      <c r="B296" s="6">
        <f t="shared" si="4"/>
        <v>1</v>
      </c>
      <c r="C296" s="19" t="s">
        <v>163</v>
      </c>
      <c r="D296" s="3" t="s">
        <v>209</v>
      </c>
      <c r="E296" s="19" t="str">
        <f>VLOOKUP(D296,'Org Setup'!A:B,2,0)</f>
        <v>ES</v>
      </c>
      <c r="F296" s="23">
        <f>VLOOKUP(D296,'Org Setup'!A:D,4,0)</f>
        <v>5.0999999999999996</v>
      </c>
    </row>
    <row r="297" spans="1:6" x14ac:dyDescent="0.3">
      <c r="A297" s="6">
        <v>1716017252674</v>
      </c>
      <c r="B297" s="6">
        <f t="shared" si="4"/>
        <v>1</v>
      </c>
      <c r="C297" s="19" t="s">
        <v>163</v>
      </c>
      <c r="D297" s="3" t="s">
        <v>209</v>
      </c>
      <c r="E297" s="19" t="str">
        <f>VLOOKUP(D297,'Org Setup'!A:B,2,0)</f>
        <v>ES</v>
      </c>
      <c r="F297" s="23">
        <f>VLOOKUP(D297,'Org Setup'!A:D,4,0)</f>
        <v>5.0999999999999996</v>
      </c>
    </row>
    <row r="298" spans="1:6" x14ac:dyDescent="0.3">
      <c r="A298" s="6">
        <v>1716016740313</v>
      </c>
      <c r="B298" s="6">
        <f t="shared" si="4"/>
        <v>1</v>
      </c>
      <c r="C298" s="19" t="s">
        <v>163</v>
      </c>
      <c r="D298" s="16" t="s">
        <v>202</v>
      </c>
      <c r="E298" s="19" t="str">
        <f>VLOOKUP(D298,'Org Setup'!A:B,2,0)</f>
        <v>IS (1)</v>
      </c>
      <c r="F298" s="23">
        <f>VLOOKUP(D298,'Org Setup'!A:D,4,0)</f>
        <v>5.0999999999999996</v>
      </c>
    </row>
    <row r="299" spans="1:6" x14ac:dyDescent="0.3">
      <c r="A299" s="6">
        <v>1716015182100</v>
      </c>
      <c r="B299" s="6">
        <f t="shared" si="4"/>
        <v>1</v>
      </c>
      <c r="C299" s="19" t="s">
        <v>163</v>
      </c>
      <c r="D299" s="16" t="s">
        <v>202</v>
      </c>
      <c r="E299" s="19" t="str">
        <f>VLOOKUP(D299,'Org Setup'!A:B,2,0)</f>
        <v>IS (1)</v>
      </c>
      <c r="F299" s="23">
        <f>VLOOKUP(D299,'Org Setup'!A:D,4,0)</f>
        <v>5.0999999999999996</v>
      </c>
    </row>
    <row r="300" spans="1:6" x14ac:dyDescent="0.3">
      <c r="A300" s="6">
        <v>1716011087303</v>
      </c>
      <c r="B300" s="6">
        <f t="shared" si="4"/>
        <v>1</v>
      </c>
      <c r="C300" s="19" t="s">
        <v>163</v>
      </c>
      <c r="D300" s="3" t="s">
        <v>209</v>
      </c>
      <c r="E300" s="19" t="str">
        <f>VLOOKUP(D300,'Org Setup'!A:B,2,0)</f>
        <v>ES</v>
      </c>
      <c r="F300" s="23">
        <f>VLOOKUP(D300,'Org Setup'!A:D,4,0)</f>
        <v>5.0999999999999996</v>
      </c>
    </row>
    <row r="301" spans="1:6" x14ac:dyDescent="0.3">
      <c r="A301" s="6">
        <v>1715472885107</v>
      </c>
      <c r="B301" s="6">
        <f t="shared" si="4"/>
        <v>1</v>
      </c>
      <c r="C301" s="19" t="s">
        <v>163</v>
      </c>
      <c r="D301" s="16" t="s">
        <v>202</v>
      </c>
      <c r="E301" s="19" t="str">
        <f>VLOOKUP(D301,'Org Setup'!A:B,2,0)</f>
        <v>IS (1)</v>
      </c>
      <c r="F301" s="23">
        <f>VLOOKUP(D301,'Org Setup'!A:D,4,0)</f>
        <v>5.0999999999999996</v>
      </c>
    </row>
    <row r="302" spans="1:6" x14ac:dyDescent="0.3">
      <c r="A302" s="6">
        <v>1715394762201</v>
      </c>
      <c r="B302" s="6">
        <f t="shared" si="4"/>
        <v>1</v>
      </c>
      <c r="C302" s="19" t="s">
        <v>163</v>
      </c>
      <c r="D302" s="16" t="s">
        <v>202</v>
      </c>
      <c r="E302" s="19" t="str">
        <f>VLOOKUP(D302,'Org Setup'!A:B,2,0)</f>
        <v>IS (1)</v>
      </c>
      <c r="F302" s="23">
        <f>VLOOKUP(D302,'Org Setup'!A:D,4,0)</f>
        <v>5.0999999999999996</v>
      </c>
    </row>
    <row r="303" spans="1:6" x14ac:dyDescent="0.3">
      <c r="A303" s="6">
        <v>1715264450307</v>
      </c>
      <c r="B303" s="6">
        <f t="shared" si="4"/>
        <v>1</v>
      </c>
      <c r="C303" s="19" t="s">
        <v>240</v>
      </c>
      <c r="D303" s="3" t="s">
        <v>276</v>
      </c>
      <c r="E303" s="19" t="str">
        <f>VLOOKUP(D303,'Org Setup'!A:B,2,0)</f>
        <v>IS (1)</v>
      </c>
      <c r="F303" s="23">
        <f>VLOOKUP(D303,'Org Setup'!A:D,4,0)</f>
        <v>5.0999999999999996</v>
      </c>
    </row>
    <row r="304" spans="1:6" x14ac:dyDescent="0.3">
      <c r="A304" s="6">
        <v>1715024712106</v>
      </c>
      <c r="B304" s="6">
        <f t="shared" si="4"/>
        <v>1</v>
      </c>
      <c r="C304" s="19" t="s">
        <v>240</v>
      </c>
      <c r="D304" s="3" t="s">
        <v>276</v>
      </c>
      <c r="E304" s="19" t="str">
        <f>VLOOKUP(D304,'Org Setup'!A:B,2,0)</f>
        <v>IS (1)</v>
      </c>
      <c r="F304" s="23">
        <f>VLOOKUP(D304,'Org Setup'!A:D,4,0)</f>
        <v>5.0999999999999996</v>
      </c>
    </row>
    <row r="305" spans="1:6" x14ac:dyDescent="0.3">
      <c r="A305" s="6">
        <v>1715004210501</v>
      </c>
      <c r="B305" s="6">
        <f t="shared" si="4"/>
        <v>1</v>
      </c>
      <c r="C305" s="19" t="s">
        <v>163</v>
      </c>
      <c r="D305" s="16" t="s">
        <v>202</v>
      </c>
      <c r="E305" s="19" t="str">
        <f>VLOOKUP(D305,'Org Setup'!A:B,2,0)</f>
        <v>IS (1)</v>
      </c>
      <c r="F305" s="23">
        <f>VLOOKUP(D305,'Org Setup'!A:D,4,0)</f>
        <v>5.0999999999999996</v>
      </c>
    </row>
    <row r="306" spans="1:6" x14ac:dyDescent="0.3">
      <c r="A306" s="6">
        <v>1714947272205</v>
      </c>
      <c r="B306" s="6">
        <f t="shared" si="4"/>
        <v>1</v>
      </c>
      <c r="C306" s="19" t="s">
        <v>163</v>
      </c>
      <c r="D306" s="16" t="s">
        <v>202</v>
      </c>
      <c r="E306" s="19" t="str">
        <f>VLOOKUP(D306,'Org Setup'!A:B,2,0)</f>
        <v>IS (1)</v>
      </c>
      <c r="F306" s="23">
        <f>VLOOKUP(D306,'Org Setup'!A:D,4,0)</f>
        <v>5.0999999999999996</v>
      </c>
    </row>
    <row r="307" spans="1:6" x14ac:dyDescent="0.3">
      <c r="A307" s="6">
        <v>1714829862660</v>
      </c>
      <c r="B307" s="6">
        <f t="shared" si="4"/>
        <v>1</v>
      </c>
      <c r="C307" s="19" t="s">
        <v>240</v>
      </c>
      <c r="D307" s="3" t="s">
        <v>276</v>
      </c>
      <c r="E307" s="19" t="str">
        <f>VLOOKUP(D307,'Org Setup'!A:B,2,0)</f>
        <v>IS (1)</v>
      </c>
      <c r="F307" s="23">
        <f>VLOOKUP(D307,'Org Setup'!A:D,4,0)</f>
        <v>5.0999999999999996</v>
      </c>
    </row>
    <row r="308" spans="1:6" x14ac:dyDescent="0.3">
      <c r="A308" s="6">
        <v>1714829500104</v>
      </c>
      <c r="B308" s="6">
        <f t="shared" si="4"/>
        <v>1</v>
      </c>
      <c r="C308" s="19" t="s">
        <v>163</v>
      </c>
      <c r="D308" s="16" t="s">
        <v>202</v>
      </c>
      <c r="E308" s="19" t="str">
        <f>VLOOKUP(D308,'Org Setup'!A:B,2,0)</f>
        <v>IS (1)</v>
      </c>
      <c r="F308" s="23">
        <f>VLOOKUP(D308,'Org Setup'!A:D,4,0)</f>
        <v>5.0999999999999996</v>
      </c>
    </row>
    <row r="309" spans="1:6" x14ac:dyDescent="0.3">
      <c r="A309" s="6">
        <v>1714822480677</v>
      </c>
      <c r="B309" s="6">
        <f t="shared" si="4"/>
        <v>1</v>
      </c>
      <c r="C309" s="19" t="s">
        <v>163</v>
      </c>
      <c r="D309" s="16" t="s">
        <v>202</v>
      </c>
      <c r="E309" s="19" t="str">
        <f>VLOOKUP(D309,'Org Setup'!A:B,2,0)</f>
        <v>IS (1)</v>
      </c>
      <c r="F309" s="23">
        <f>VLOOKUP(D309,'Org Setup'!A:D,4,0)</f>
        <v>5.0999999999999996</v>
      </c>
    </row>
    <row r="310" spans="1:6" x14ac:dyDescent="0.3">
      <c r="A310" s="6">
        <v>1714821131207</v>
      </c>
      <c r="B310" s="6">
        <f t="shared" si="4"/>
        <v>2</v>
      </c>
      <c r="C310" s="19" t="s">
        <v>240</v>
      </c>
      <c r="D310" s="3" t="s">
        <v>293</v>
      </c>
      <c r="E310" s="19" t="str">
        <f>VLOOKUP(D310,'Org Setup'!A:B,2,0)</f>
        <v>ES</v>
      </c>
      <c r="F310" s="23">
        <f>VLOOKUP(D310,'Org Setup'!A:D,4,0)</f>
        <v>5.0999999999999996</v>
      </c>
    </row>
    <row r="311" spans="1:6" x14ac:dyDescent="0.3">
      <c r="A311" s="6">
        <v>1714821131207</v>
      </c>
      <c r="B311" s="6">
        <f t="shared" si="4"/>
        <v>2</v>
      </c>
      <c r="C311" s="19" t="s">
        <v>163</v>
      </c>
      <c r="D311" s="16" t="s">
        <v>202</v>
      </c>
      <c r="E311" s="19" t="str">
        <f>VLOOKUP(D311,'Org Setup'!A:B,2,0)</f>
        <v>IS (1)</v>
      </c>
      <c r="F311" s="23">
        <f>VLOOKUP(D311,'Org Setup'!A:D,4,0)</f>
        <v>5.0999999999999996</v>
      </c>
    </row>
    <row r="312" spans="1:6" x14ac:dyDescent="0.3">
      <c r="A312" s="6">
        <v>1714798692505</v>
      </c>
      <c r="B312" s="6">
        <f t="shared" si="4"/>
        <v>1</v>
      </c>
      <c r="C312" s="19" t="s">
        <v>163</v>
      </c>
      <c r="D312" s="16" t="s">
        <v>202</v>
      </c>
      <c r="E312" s="19" t="str">
        <f>VLOOKUP(D312,'Org Setup'!A:B,2,0)</f>
        <v>IS (1)</v>
      </c>
      <c r="F312" s="23">
        <f>VLOOKUP(D312,'Org Setup'!A:D,4,0)</f>
        <v>5.0999999999999996</v>
      </c>
    </row>
    <row r="313" spans="1:6" x14ac:dyDescent="0.3">
      <c r="A313" s="6">
        <v>1714758380307</v>
      </c>
      <c r="B313" s="6">
        <f t="shared" si="4"/>
        <v>1</v>
      </c>
      <c r="C313" s="19" t="s">
        <v>163</v>
      </c>
      <c r="D313" s="16" t="s">
        <v>202</v>
      </c>
      <c r="E313" s="19" t="str">
        <f>VLOOKUP(D313,'Org Setup'!A:B,2,0)</f>
        <v>IS (1)</v>
      </c>
      <c r="F313" s="23">
        <f>VLOOKUP(D313,'Org Setup'!A:D,4,0)</f>
        <v>5.0999999999999996</v>
      </c>
    </row>
    <row r="314" spans="1:6" x14ac:dyDescent="0.3">
      <c r="A314" s="6">
        <v>1714756531300</v>
      </c>
      <c r="B314" s="6">
        <f t="shared" si="4"/>
        <v>1</v>
      </c>
      <c r="C314" s="19" t="s">
        <v>240</v>
      </c>
      <c r="D314" s="3" t="s">
        <v>276</v>
      </c>
      <c r="E314" s="19" t="str">
        <f>VLOOKUP(D314,'Org Setup'!A:B,2,0)</f>
        <v>IS (1)</v>
      </c>
      <c r="F314" s="23">
        <f>VLOOKUP(D314,'Org Setup'!A:D,4,0)</f>
        <v>5.0999999999999996</v>
      </c>
    </row>
    <row r="315" spans="1:6" x14ac:dyDescent="0.3">
      <c r="A315" s="6">
        <v>1714734752618</v>
      </c>
      <c r="B315" s="6">
        <f t="shared" si="4"/>
        <v>1</v>
      </c>
      <c r="C315" s="19" t="s">
        <v>240</v>
      </c>
      <c r="D315" s="3" t="s">
        <v>293</v>
      </c>
      <c r="E315" s="19" t="str">
        <f>VLOOKUP(D315,'Org Setup'!A:B,2,0)</f>
        <v>ES</v>
      </c>
      <c r="F315" s="23">
        <f>VLOOKUP(D315,'Org Setup'!A:D,4,0)</f>
        <v>5.0999999999999996</v>
      </c>
    </row>
    <row r="316" spans="1:6" x14ac:dyDescent="0.3">
      <c r="A316" s="6">
        <v>1714733483458</v>
      </c>
      <c r="B316" s="6">
        <f t="shared" si="4"/>
        <v>1</v>
      </c>
      <c r="C316" s="19" t="s">
        <v>163</v>
      </c>
      <c r="D316" s="16" t="s">
        <v>202</v>
      </c>
      <c r="E316" s="19" t="str">
        <f>VLOOKUP(D316,'Org Setup'!A:B,2,0)</f>
        <v>IS (1)</v>
      </c>
      <c r="F316" s="23">
        <f>VLOOKUP(D316,'Org Setup'!A:D,4,0)</f>
        <v>5.0999999999999996</v>
      </c>
    </row>
    <row r="317" spans="1:6" x14ac:dyDescent="0.3">
      <c r="A317" s="6">
        <v>1714681250802</v>
      </c>
      <c r="B317" s="6">
        <f t="shared" si="4"/>
        <v>1</v>
      </c>
      <c r="C317" s="19" t="s">
        <v>163</v>
      </c>
      <c r="D317" s="3" t="s">
        <v>209</v>
      </c>
      <c r="E317" s="19" t="str">
        <f>VLOOKUP(D317,'Org Setup'!A:B,2,0)</f>
        <v>ES</v>
      </c>
      <c r="F317" s="23">
        <f>VLOOKUP(D317,'Org Setup'!A:D,4,0)</f>
        <v>5.0999999999999996</v>
      </c>
    </row>
    <row r="318" spans="1:6" x14ac:dyDescent="0.3">
      <c r="A318" s="6">
        <v>1714325133006</v>
      </c>
      <c r="B318" s="6">
        <f t="shared" si="4"/>
        <v>1</v>
      </c>
      <c r="C318" s="19" t="s">
        <v>163</v>
      </c>
      <c r="D318" s="16" t="s">
        <v>202</v>
      </c>
      <c r="E318" s="19" t="str">
        <f>VLOOKUP(D318,'Org Setup'!A:B,2,0)</f>
        <v>IS (1)</v>
      </c>
      <c r="F318" s="23">
        <f>VLOOKUP(D318,'Org Setup'!A:D,4,0)</f>
        <v>5.0999999999999996</v>
      </c>
    </row>
    <row r="319" spans="1:6" x14ac:dyDescent="0.3">
      <c r="A319" s="6">
        <v>1714135052009</v>
      </c>
      <c r="B319" s="6">
        <f t="shared" si="4"/>
        <v>1</v>
      </c>
      <c r="C319" s="19" t="s">
        <v>240</v>
      </c>
      <c r="D319" s="3" t="s">
        <v>293</v>
      </c>
      <c r="E319" s="19" t="str">
        <f>VLOOKUP(D319,'Org Setup'!A:B,2,0)</f>
        <v>ES</v>
      </c>
      <c r="F319" s="23">
        <f>VLOOKUP(D319,'Org Setup'!A:D,4,0)</f>
        <v>5.0999999999999996</v>
      </c>
    </row>
    <row r="320" spans="1:6" x14ac:dyDescent="0.3">
      <c r="A320" s="6">
        <v>1714035717909</v>
      </c>
      <c r="B320" s="6">
        <f t="shared" si="4"/>
        <v>1</v>
      </c>
      <c r="C320" s="19" t="s">
        <v>163</v>
      </c>
      <c r="D320" s="3" t="s">
        <v>209</v>
      </c>
      <c r="E320" s="19" t="str">
        <f>VLOOKUP(D320,'Org Setup'!A:B,2,0)</f>
        <v>ES</v>
      </c>
      <c r="F320" s="23">
        <f>VLOOKUP(D320,'Org Setup'!A:D,4,0)</f>
        <v>5.0999999999999996</v>
      </c>
    </row>
    <row r="321" spans="1:6" x14ac:dyDescent="0.3">
      <c r="A321" s="6">
        <v>1713751310533</v>
      </c>
      <c r="B321" s="6">
        <f t="shared" si="4"/>
        <v>1</v>
      </c>
      <c r="C321" s="19" t="s">
        <v>163</v>
      </c>
      <c r="D321" s="16" t="s">
        <v>202</v>
      </c>
      <c r="E321" s="19" t="str">
        <f>VLOOKUP(D321,'Org Setup'!A:B,2,0)</f>
        <v>IS (1)</v>
      </c>
      <c r="F321" s="23">
        <f>VLOOKUP(D321,'Org Setup'!A:D,4,0)</f>
        <v>5.0999999999999996</v>
      </c>
    </row>
    <row r="322" spans="1:6" x14ac:dyDescent="0.3">
      <c r="A322" s="6">
        <v>1713645252209</v>
      </c>
      <c r="B322" s="6">
        <f t="shared" si="4"/>
        <v>1</v>
      </c>
      <c r="C322" s="19" t="s">
        <v>163</v>
      </c>
      <c r="D322" s="16" t="s">
        <v>202</v>
      </c>
      <c r="E322" s="19" t="str">
        <f>VLOOKUP(D322,'Org Setup'!A:B,2,0)</f>
        <v>IS (1)</v>
      </c>
      <c r="F322" s="23">
        <f>VLOOKUP(D322,'Org Setup'!A:D,4,0)</f>
        <v>5.0999999999999996</v>
      </c>
    </row>
    <row r="323" spans="1:6" x14ac:dyDescent="0.3">
      <c r="A323" s="6">
        <v>1713614334310</v>
      </c>
      <c r="B323" s="6">
        <f t="shared" ref="B323:B386" si="5">COUNTIF(A$2:A$411,A323)</f>
        <v>1</v>
      </c>
      <c r="C323" s="19" t="s">
        <v>163</v>
      </c>
      <c r="D323" s="3" t="s">
        <v>209</v>
      </c>
      <c r="E323" s="19" t="str">
        <f>VLOOKUP(D323,'Org Setup'!A:B,2,0)</f>
        <v>ES</v>
      </c>
      <c r="F323" s="23">
        <f>VLOOKUP(D323,'Org Setup'!A:D,4,0)</f>
        <v>5.0999999999999996</v>
      </c>
    </row>
    <row r="324" spans="1:6" x14ac:dyDescent="0.3">
      <c r="A324" s="6">
        <v>1713613960511</v>
      </c>
      <c r="B324" s="6">
        <f t="shared" si="5"/>
        <v>1</v>
      </c>
      <c r="C324" s="19" t="s">
        <v>163</v>
      </c>
      <c r="D324" s="3" t="s">
        <v>209</v>
      </c>
      <c r="E324" s="19" t="str">
        <f>VLOOKUP(D324,'Org Setup'!A:B,2,0)</f>
        <v>ES</v>
      </c>
      <c r="F324" s="23">
        <f>VLOOKUP(D324,'Org Setup'!A:D,4,0)</f>
        <v>5.0999999999999996</v>
      </c>
    </row>
    <row r="325" spans="1:6" x14ac:dyDescent="0.3">
      <c r="A325" s="6">
        <v>1713598660050</v>
      </c>
      <c r="B325" s="6">
        <f t="shared" si="5"/>
        <v>1</v>
      </c>
      <c r="C325" s="19" t="s">
        <v>163</v>
      </c>
      <c r="D325" s="3" t="s">
        <v>209</v>
      </c>
      <c r="E325" s="19" t="str">
        <f>VLOOKUP(D325,'Org Setup'!A:B,2,0)</f>
        <v>ES</v>
      </c>
      <c r="F325" s="23">
        <f>VLOOKUP(D325,'Org Setup'!A:D,4,0)</f>
        <v>5.0999999999999996</v>
      </c>
    </row>
    <row r="326" spans="1:6" x14ac:dyDescent="0.3">
      <c r="A326" s="6">
        <v>1713535646314</v>
      </c>
      <c r="B326" s="6">
        <f t="shared" si="5"/>
        <v>1</v>
      </c>
      <c r="C326" s="19" t="s">
        <v>163</v>
      </c>
      <c r="D326" s="16" t="s">
        <v>202</v>
      </c>
      <c r="E326" s="19" t="str">
        <f>VLOOKUP(D326,'Org Setup'!A:B,2,0)</f>
        <v>IS (1)</v>
      </c>
      <c r="F326" s="23">
        <f>VLOOKUP(D326,'Org Setup'!A:D,4,0)</f>
        <v>5.0999999999999996</v>
      </c>
    </row>
    <row r="327" spans="1:6" x14ac:dyDescent="0.3">
      <c r="A327" s="6">
        <v>1712685471753</v>
      </c>
      <c r="B327" s="6">
        <f t="shared" si="5"/>
        <v>1</v>
      </c>
      <c r="C327" s="19" t="s">
        <v>240</v>
      </c>
      <c r="D327" s="3" t="s">
        <v>276</v>
      </c>
      <c r="E327" s="19" t="str">
        <f>VLOOKUP(D327,'Org Setup'!A:B,2,0)</f>
        <v>IS (1)</v>
      </c>
      <c r="F327" s="23">
        <f>VLOOKUP(D327,'Org Setup'!A:D,4,0)</f>
        <v>5.0999999999999996</v>
      </c>
    </row>
    <row r="328" spans="1:6" x14ac:dyDescent="0.3">
      <c r="A328" s="6">
        <v>1712541893008</v>
      </c>
      <c r="B328" s="6">
        <f t="shared" si="5"/>
        <v>1</v>
      </c>
      <c r="C328" s="19" t="s">
        <v>163</v>
      </c>
      <c r="D328" s="16" t="s">
        <v>202</v>
      </c>
      <c r="E328" s="19" t="str">
        <f>VLOOKUP(D328,'Org Setup'!A:B,2,0)</f>
        <v>IS (1)</v>
      </c>
      <c r="F328" s="23">
        <f>VLOOKUP(D328,'Org Setup'!A:D,4,0)</f>
        <v>5.0999999999999996</v>
      </c>
    </row>
    <row r="329" spans="1:6" x14ac:dyDescent="0.3">
      <c r="A329" s="6">
        <v>1712399800200</v>
      </c>
      <c r="B329" s="6">
        <f t="shared" si="5"/>
        <v>1</v>
      </c>
      <c r="C329" s="19" t="s">
        <v>163</v>
      </c>
      <c r="D329" s="16" t="s">
        <v>202</v>
      </c>
      <c r="E329" s="19" t="str">
        <f>VLOOKUP(D329,'Org Setup'!A:B,2,0)</f>
        <v>IS (1)</v>
      </c>
      <c r="F329" s="23">
        <f>VLOOKUP(D329,'Org Setup'!A:D,4,0)</f>
        <v>5.0999999999999996</v>
      </c>
    </row>
    <row r="330" spans="1:6" x14ac:dyDescent="0.3">
      <c r="A330" s="6">
        <v>1712383071156</v>
      </c>
      <c r="B330" s="6">
        <f t="shared" si="5"/>
        <v>1</v>
      </c>
      <c r="C330" s="19" t="s">
        <v>240</v>
      </c>
      <c r="D330" s="3" t="s">
        <v>276</v>
      </c>
      <c r="E330" s="19" t="str">
        <f>VLOOKUP(D330,'Org Setup'!A:B,2,0)</f>
        <v>IS (1)</v>
      </c>
      <c r="F330" s="23">
        <f>VLOOKUP(D330,'Org Setup'!A:D,4,0)</f>
        <v>5.0999999999999996</v>
      </c>
    </row>
    <row r="331" spans="1:6" x14ac:dyDescent="0.3">
      <c r="A331" s="6">
        <v>1711844102305</v>
      </c>
      <c r="B331" s="6">
        <f t="shared" si="5"/>
        <v>1</v>
      </c>
      <c r="C331" s="19" t="s">
        <v>163</v>
      </c>
      <c r="D331" s="16" t="s">
        <v>202</v>
      </c>
      <c r="E331" s="19" t="str">
        <f>VLOOKUP(D331,'Org Setup'!A:B,2,0)</f>
        <v>IS (1)</v>
      </c>
      <c r="F331" s="23">
        <f>VLOOKUP(D331,'Org Setup'!A:D,4,0)</f>
        <v>5.0999999999999996</v>
      </c>
    </row>
    <row r="332" spans="1:6" x14ac:dyDescent="0.3">
      <c r="A332" s="6">
        <v>1711816354306</v>
      </c>
      <c r="B332" s="6">
        <f t="shared" si="5"/>
        <v>1</v>
      </c>
      <c r="C332" s="19" t="s">
        <v>163</v>
      </c>
      <c r="D332" s="16" t="s">
        <v>202</v>
      </c>
      <c r="E332" s="19" t="str">
        <f>VLOOKUP(D332,'Org Setup'!A:B,2,0)</f>
        <v>IS (1)</v>
      </c>
      <c r="F332" s="23">
        <f>VLOOKUP(D332,'Org Setup'!A:D,4,0)</f>
        <v>5.0999999999999996</v>
      </c>
    </row>
    <row r="333" spans="1:6" x14ac:dyDescent="0.3">
      <c r="A333" s="6">
        <v>1711659000507</v>
      </c>
      <c r="B333" s="6">
        <f t="shared" si="5"/>
        <v>1</v>
      </c>
      <c r="C333" s="19" t="s">
        <v>163</v>
      </c>
      <c r="D333" s="16" t="s">
        <v>202</v>
      </c>
      <c r="E333" s="19" t="str">
        <f>VLOOKUP(D333,'Org Setup'!A:B,2,0)</f>
        <v>IS (1)</v>
      </c>
      <c r="F333" s="23">
        <f>VLOOKUP(D333,'Org Setup'!A:D,4,0)</f>
        <v>5.0999999999999996</v>
      </c>
    </row>
    <row r="334" spans="1:6" x14ac:dyDescent="0.3">
      <c r="A334" s="6">
        <v>1710213070603</v>
      </c>
      <c r="B334" s="6">
        <f t="shared" si="5"/>
        <v>1</v>
      </c>
      <c r="C334" s="19" t="s">
        <v>163</v>
      </c>
      <c r="D334" s="3" t="s">
        <v>209</v>
      </c>
      <c r="E334" s="19" t="str">
        <f>VLOOKUP(D334,'Org Setup'!A:B,2,0)</f>
        <v>ES</v>
      </c>
      <c r="F334" s="23">
        <f>VLOOKUP(D334,'Org Setup'!A:D,4,0)</f>
        <v>5.0999999999999996</v>
      </c>
    </row>
    <row r="335" spans="1:6" x14ac:dyDescent="0.3">
      <c r="A335" s="6">
        <v>1710213070409</v>
      </c>
      <c r="B335" s="6">
        <f t="shared" si="5"/>
        <v>1</v>
      </c>
      <c r="C335" s="19" t="s">
        <v>163</v>
      </c>
      <c r="D335" s="3" t="s">
        <v>209</v>
      </c>
      <c r="E335" s="19" t="str">
        <f>VLOOKUP(D335,'Org Setup'!A:B,2,0)</f>
        <v>ES</v>
      </c>
      <c r="F335" s="23">
        <f>VLOOKUP(D335,'Org Setup'!A:D,4,0)</f>
        <v>5.0999999999999996</v>
      </c>
    </row>
    <row r="336" spans="1:6" x14ac:dyDescent="0.3">
      <c r="A336" s="6">
        <v>1710037621300</v>
      </c>
      <c r="B336" s="6">
        <f t="shared" si="5"/>
        <v>1</v>
      </c>
      <c r="C336" s="19" t="s">
        <v>240</v>
      </c>
      <c r="D336" s="3" t="s">
        <v>293</v>
      </c>
      <c r="E336" s="19" t="str">
        <f>VLOOKUP(D336,'Org Setup'!A:B,2,0)</f>
        <v>ES</v>
      </c>
      <c r="F336" s="23">
        <f>VLOOKUP(D336,'Org Setup'!A:D,4,0)</f>
        <v>5.0999999999999996</v>
      </c>
    </row>
    <row r="337" spans="1:6" x14ac:dyDescent="0.3">
      <c r="A337" s="6">
        <v>1700052431187</v>
      </c>
      <c r="B337" s="6">
        <f t="shared" si="5"/>
        <v>1</v>
      </c>
      <c r="C337" s="19" t="s">
        <v>240</v>
      </c>
      <c r="D337" s="3" t="s">
        <v>293</v>
      </c>
      <c r="E337" s="19" t="str">
        <f>VLOOKUP(D337,'Org Setup'!A:B,2,0)</f>
        <v>ES</v>
      </c>
      <c r="F337" s="23">
        <f>VLOOKUP(D337,'Org Setup'!A:D,4,0)</f>
        <v>5.0999999999999996</v>
      </c>
    </row>
    <row r="338" spans="1:6" x14ac:dyDescent="0.3">
      <c r="A338" s="6">
        <v>1700052426753</v>
      </c>
      <c r="B338" s="6">
        <f t="shared" si="5"/>
        <v>1</v>
      </c>
      <c r="C338" s="19" t="s">
        <v>240</v>
      </c>
      <c r="D338" s="3" t="s">
        <v>293</v>
      </c>
      <c r="E338" s="19" t="str">
        <f>VLOOKUP(D338,'Org Setup'!A:B,2,0)</f>
        <v>ES</v>
      </c>
      <c r="F338" s="23">
        <f>VLOOKUP(D338,'Org Setup'!A:D,4,0)</f>
        <v>5.0999999999999996</v>
      </c>
    </row>
    <row r="339" spans="1:6" x14ac:dyDescent="0.3">
      <c r="A339" s="6">
        <v>1700052425857</v>
      </c>
      <c r="B339" s="6">
        <f t="shared" si="5"/>
        <v>1</v>
      </c>
      <c r="C339" s="19" t="s">
        <v>240</v>
      </c>
      <c r="D339" s="3" t="s">
        <v>293</v>
      </c>
      <c r="E339" s="19" t="str">
        <f>VLOOKUP(D339,'Org Setup'!A:B,2,0)</f>
        <v>ES</v>
      </c>
      <c r="F339" s="23">
        <f>VLOOKUP(D339,'Org Setup'!A:D,4,0)</f>
        <v>5.0999999999999996</v>
      </c>
    </row>
    <row r="340" spans="1:6" x14ac:dyDescent="0.3">
      <c r="A340" s="6">
        <v>1700052420200</v>
      </c>
      <c r="B340" s="6">
        <f t="shared" si="5"/>
        <v>1</v>
      </c>
      <c r="C340" s="19" t="s">
        <v>240</v>
      </c>
      <c r="D340" s="3" t="s">
        <v>293</v>
      </c>
      <c r="E340" s="19" t="str">
        <f>VLOOKUP(D340,'Org Setup'!A:B,2,0)</f>
        <v>ES</v>
      </c>
      <c r="F340" s="23">
        <f>VLOOKUP(D340,'Org Setup'!A:D,4,0)</f>
        <v>5.0999999999999996</v>
      </c>
    </row>
    <row r="341" spans="1:6" x14ac:dyDescent="0.3">
      <c r="A341" s="6">
        <v>1700052403375</v>
      </c>
      <c r="B341" s="6">
        <f t="shared" si="5"/>
        <v>1</v>
      </c>
      <c r="C341" s="19" t="s">
        <v>240</v>
      </c>
      <c r="D341" s="3" t="s">
        <v>293</v>
      </c>
      <c r="E341" s="19" t="str">
        <f>VLOOKUP(D341,'Org Setup'!A:B,2,0)</f>
        <v>ES</v>
      </c>
      <c r="F341" s="23">
        <f>VLOOKUP(D341,'Org Setup'!A:D,4,0)</f>
        <v>5.0999999999999996</v>
      </c>
    </row>
    <row r="342" spans="1:6" x14ac:dyDescent="0.3">
      <c r="A342" s="6">
        <v>1700052400240</v>
      </c>
      <c r="B342" s="6">
        <f t="shared" si="5"/>
        <v>1</v>
      </c>
      <c r="C342" s="19" t="s">
        <v>240</v>
      </c>
      <c r="D342" s="3" t="s">
        <v>293</v>
      </c>
      <c r="E342" s="19" t="str">
        <f>VLOOKUP(D342,'Org Setup'!A:B,2,0)</f>
        <v>ES</v>
      </c>
      <c r="F342" s="23">
        <f>VLOOKUP(D342,'Org Setup'!A:D,4,0)</f>
        <v>5.0999999999999996</v>
      </c>
    </row>
    <row r="343" spans="1:6" x14ac:dyDescent="0.3">
      <c r="A343" s="6">
        <v>1700052391269</v>
      </c>
      <c r="B343" s="6">
        <f t="shared" si="5"/>
        <v>1</v>
      </c>
      <c r="C343" s="19" t="s">
        <v>240</v>
      </c>
      <c r="D343" s="3" t="s">
        <v>293</v>
      </c>
      <c r="E343" s="19" t="str">
        <f>VLOOKUP(D343,'Org Setup'!A:B,2,0)</f>
        <v>ES</v>
      </c>
      <c r="F343" s="23">
        <f>VLOOKUP(D343,'Org Setup'!A:D,4,0)</f>
        <v>5.0999999999999996</v>
      </c>
    </row>
    <row r="344" spans="1:6" x14ac:dyDescent="0.3">
      <c r="A344" s="6">
        <v>1700052387839</v>
      </c>
      <c r="B344" s="6">
        <f t="shared" si="5"/>
        <v>1</v>
      </c>
      <c r="C344" s="19" t="s">
        <v>240</v>
      </c>
      <c r="D344" s="3" t="s">
        <v>293</v>
      </c>
      <c r="E344" s="19" t="str">
        <f>VLOOKUP(D344,'Org Setup'!A:B,2,0)</f>
        <v>ES</v>
      </c>
      <c r="F344" s="23">
        <f>VLOOKUP(D344,'Org Setup'!A:D,4,0)</f>
        <v>5.0999999999999996</v>
      </c>
    </row>
    <row r="345" spans="1:6" x14ac:dyDescent="0.3">
      <c r="A345" s="6">
        <v>1700052387485</v>
      </c>
      <c r="B345" s="6">
        <f t="shared" si="5"/>
        <v>1</v>
      </c>
      <c r="C345" s="19" t="s">
        <v>240</v>
      </c>
      <c r="D345" s="3" t="s">
        <v>293</v>
      </c>
      <c r="E345" s="19" t="str">
        <f>VLOOKUP(D345,'Org Setup'!A:B,2,0)</f>
        <v>ES</v>
      </c>
      <c r="F345" s="23">
        <f>VLOOKUP(D345,'Org Setup'!A:D,4,0)</f>
        <v>5.0999999999999996</v>
      </c>
    </row>
    <row r="346" spans="1:6" x14ac:dyDescent="0.3">
      <c r="A346" s="6">
        <v>1700052385308</v>
      </c>
      <c r="B346" s="6">
        <f t="shared" si="5"/>
        <v>1</v>
      </c>
      <c r="C346" s="19" t="s">
        <v>240</v>
      </c>
      <c r="D346" s="3" t="s">
        <v>293</v>
      </c>
      <c r="E346" s="19" t="str">
        <f>VLOOKUP(D346,'Org Setup'!A:B,2,0)</f>
        <v>ES</v>
      </c>
      <c r="F346" s="23">
        <f>VLOOKUP(D346,'Org Setup'!A:D,4,0)</f>
        <v>5.0999999999999996</v>
      </c>
    </row>
    <row r="347" spans="1:6" x14ac:dyDescent="0.3">
      <c r="A347" s="6">
        <v>1700052355641</v>
      </c>
      <c r="B347" s="6">
        <f t="shared" si="5"/>
        <v>1</v>
      </c>
      <c r="C347" s="19" t="s">
        <v>240</v>
      </c>
      <c r="D347" s="3" t="s">
        <v>293</v>
      </c>
      <c r="E347" s="19" t="str">
        <f>VLOOKUP(D347,'Org Setup'!A:B,2,0)</f>
        <v>ES</v>
      </c>
      <c r="F347" s="23">
        <f>VLOOKUP(D347,'Org Setup'!A:D,4,0)</f>
        <v>5.0999999999999996</v>
      </c>
    </row>
    <row r="348" spans="1:6" x14ac:dyDescent="0.3">
      <c r="A348" s="6">
        <v>1700052346451</v>
      </c>
      <c r="B348" s="6">
        <f t="shared" si="5"/>
        <v>1</v>
      </c>
      <c r="C348" s="19" t="s">
        <v>240</v>
      </c>
      <c r="D348" s="3" t="s">
        <v>293</v>
      </c>
      <c r="E348" s="19" t="str">
        <f>VLOOKUP(D348,'Org Setup'!A:B,2,0)</f>
        <v>ES</v>
      </c>
      <c r="F348" s="23">
        <f>VLOOKUP(D348,'Org Setup'!A:D,4,0)</f>
        <v>5.0999999999999996</v>
      </c>
    </row>
    <row r="349" spans="1:6" x14ac:dyDescent="0.3">
      <c r="A349" s="6">
        <v>1700052334800</v>
      </c>
      <c r="B349" s="6">
        <f t="shared" si="5"/>
        <v>1</v>
      </c>
      <c r="C349" s="19" t="s">
        <v>240</v>
      </c>
      <c r="D349" s="3" t="s">
        <v>293</v>
      </c>
      <c r="E349" s="19" t="str">
        <f>VLOOKUP(D349,'Org Setup'!A:B,2,0)</f>
        <v>ES</v>
      </c>
      <c r="F349" s="23">
        <f>VLOOKUP(D349,'Org Setup'!A:D,4,0)</f>
        <v>5.0999999999999996</v>
      </c>
    </row>
    <row r="350" spans="1:6" x14ac:dyDescent="0.3">
      <c r="A350" s="6">
        <v>1700052334702</v>
      </c>
      <c r="B350" s="6">
        <f t="shared" si="5"/>
        <v>1</v>
      </c>
      <c r="C350" s="19" t="s">
        <v>240</v>
      </c>
      <c r="D350" s="3" t="s">
        <v>293</v>
      </c>
      <c r="E350" s="19" t="str">
        <f>VLOOKUP(D350,'Org Setup'!A:B,2,0)</f>
        <v>ES</v>
      </c>
      <c r="F350" s="23">
        <f>VLOOKUP(D350,'Org Setup'!A:D,4,0)</f>
        <v>5.0999999999999996</v>
      </c>
    </row>
    <row r="351" spans="1:6" x14ac:dyDescent="0.3">
      <c r="A351" s="6">
        <v>1700052330790</v>
      </c>
      <c r="B351" s="6">
        <f t="shared" si="5"/>
        <v>1</v>
      </c>
      <c r="C351" s="19" t="s">
        <v>240</v>
      </c>
      <c r="D351" s="3" t="s">
        <v>293</v>
      </c>
      <c r="E351" s="19" t="str">
        <f>VLOOKUP(D351,'Org Setup'!A:B,2,0)</f>
        <v>ES</v>
      </c>
      <c r="F351" s="23">
        <f>VLOOKUP(D351,'Org Setup'!A:D,4,0)</f>
        <v>5.0999999999999996</v>
      </c>
    </row>
    <row r="352" spans="1:6" x14ac:dyDescent="0.3">
      <c r="A352" s="6">
        <v>1700052327626</v>
      </c>
      <c r="B352" s="6">
        <f t="shared" si="5"/>
        <v>1</v>
      </c>
      <c r="C352" s="19" t="s">
        <v>240</v>
      </c>
      <c r="D352" s="3" t="s">
        <v>293</v>
      </c>
      <c r="E352" s="19" t="str">
        <f>VLOOKUP(D352,'Org Setup'!A:B,2,0)</f>
        <v>ES</v>
      </c>
      <c r="F352" s="23">
        <f>VLOOKUP(D352,'Org Setup'!A:D,4,0)</f>
        <v>5.0999999999999996</v>
      </c>
    </row>
    <row r="353" spans="1:6" x14ac:dyDescent="0.3">
      <c r="A353" s="6">
        <v>1700052316058</v>
      </c>
      <c r="B353" s="6">
        <f t="shared" si="5"/>
        <v>1</v>
      </c>
      <c r="C353" s="19" t="s">
        <v>240</v>
      </c>
      <c r="D353" s="3" t="s">
        <v>293</v>
      </c>
      <c r="E353" s="19" t="str">
        <f>VLOOKUP(D353,'Org Setup'!A:B,2,0)</f>
        <v>ES</v>
      </c>
      <c r="F353" s="23">
        <f>VLOOKUP(D353,'Org Setup'!A:D,4,0)</f>
        <v>5.0999999999999996</v>
      </c>
    </row>
    <row r="354" spans="1:6" x14ac:dyDescent="0.3">
      <c r="A354" s="6">
        <v>1700052312898</v>
      </c>
      <c r="B354" s="6">
        <f t="shared" si="5"/>
        <v>1</v>
      </c>
      <c r="C354" s="19" t="s">
        <v>240</v>
      </c>
      <c r="D354" s="3" t="s">
        <v>293</v>
      </c>
      <c r="E354" s="19" t="str">
        <f>VLOOKUP(D354,'Org Setup'!A:B,2,0)</f>
        <v>ES</v>
      </c>
      <c r="F354" s="23">
        <f>VLOOKUP(D354,'Org Setup'!A:D,4,0)</f>
        <v>5.0999999999999996</v>
      </c>
    </row>
    <row r="355" spans="1:6" x14ac:dyDescent="0.3">
      <c r="A355" s="6">
        <v>1700052308562</v>
      </c>
      <c r="B355" s="6">
        <f t="shared" si="5"/>
        <v>1</v>
      </c>
      <c r="C355" s="19" t="s">
        <v>240</v>
      </c>
      <c r="D355" s="3" t="s">
        <v>293</v>
      </c>
      <c r="E355" s="19" t="str">
        <f>VLOOKUP(D355,'Org Setup'!A:B,2,0)</f>
        <v>ES</v>
      </c>
      <c r="F355" s="23">
        <f>VLOOKUP(D355,'Org Setup'!A:D,4,0)</f>
        <v>5.0999999999999996</v>
      </c>
    </row>
    <row r="356" spans="1:6" x14ac:dyDescent="0.3">
      <c r="A356" s="6">
        <v>1700052308429</v>
      </c>
      <c r="B356" s="6">
        <f t="shared" si="5"/>
        <v>1</v>
      </c>
      <c r="C356" s="19" t="s">
        <v>240</v>
      </c>
      <c r="D356" s="3" t="s">
        <v>293</v>
      </c>
      <c r="E356" s="19" t="str">
        <f>VLOOKUP(D356,'Org Setup'!A:B,2,0)</f>
        <v>ES</v>
      </c>
      <c r="F356" s="23">
        <f>VLOOKUP(D356,'Org Setup'!A:D,4,0)</f>
        <v>5.0999999999999996</v>
      </c>
    </row>
    <row r="357" spans="1:6" x14ac:dyDescent="0.3">
      <c r="A357" s="6">
        <v>1700052292780</v>
      </c>
      <c r="B357" s="6">
        <f t="shared" si="5"/>
        <v>1</v>
      </c>
      <c r="C357" s="19" t="s">
        <v>240</v>
      </c>
      <c r="D357" s="3" t="s">
        <v>293</v>
      </c>
      <c r="E357" s="19" t="str">
        <f>VLOOKUP(D357,'Org Setup'!A:B,2,0)</f>
        <v>ES</v>
      </c>
      <c r="F357" s="23">
        <f>VLOOKUP(D357,'Org Setup'!A:D,4,0)</f>
        <v>5.0999999999999996</v>
      </c>
    </row>
    <row r="358" spans="1:6" x14ac:dyDescent="0.3">
      <c r="A358" s="6">
        <v>1700052283067</v>
      </c>
      <c r="B358" s="6">
        <f t="shared" si="5"/>
        <v>1</v>
      </c>
      <c r="C358" s="19" t="s">
        <v>240</v>
      </c>
      <c r="D358" s="3" t="s">
        <v>293</v>
      </c>
      <c r="E358" s="19" t="str">
        <f>VLOOKUP(D358,'Org Setup'!A:B,2,0)</f>
        <v>ES</v>
      </c>
      <c r="F358" s="23">
        <f>VLOOKUP(D358,'Org Setup'!A:D,4,0)</f>
        <v>5.0999999999999996</v>
      </c>
    </row>
    <row r="359" spans="1:6" x14ac:dyDescent="0.3">
      <c r="A359" s="6">
        <v>1700052283049</v>
      </c>
      <c r="B359" s="6">
        <f t="shared" si="5"/>
        <v>1</v>
      </c>
      <c r="C359" s="19" t="s">
        <v>240</v>
      </c>
      <c r="D359" s="3" t="s">
        <v>293</v>
      </c>
      <c r="E359" s="19" t="str">
        <f>VLOOKUP(D359,'Org Setup'!A:B,2,0)</f>
        <v>ES</v>
      </c>
      <c r="F359" s="23">
        <f>VLOOKUP(D359,'Org Setup'!A:D,4,0)</f>
        <v>5.0999999999999996</v>
      </c>
    </row>
    <row r="360" spans="1:6" x14ac:dyDescent="0.3">
      <c r="A360" s="6">
        <v>1700052273919</v>
      </c>
      <c r="B360" s="6">
        <f t="shared" si="5"/>
        <v>1</v>
      </c>
      <c r="C360" s="19" t="s">
        <v>240</v>
      </c>
      <c r="D360" s="3" t="s">
        <v>293</v>
      </c>
      <c r="E360" s="19" t="str">
        <f>VLOOKUP(D360,'Org Setup'!A:B,2,0)</f>
        <v>ES</v>
      </c>
      <c r="F360" s="23">
        <f>VLOOKUP(D360,'Org Setup'!A:D,4,0)</f>
        <v>5.0999999999999996</v>
      </c>
    </row>
    <row r="361" spans="1:6" x14ac:dyDescent="0.3">
      <c r="A361" s="6">
        <v>1700052255176</v>
      </c>
      <c r="B361" s="6">
        <f t="shared" si="5"/>
        <v>1</v>
      </c>
      <c r="C361" s="19" t="s">
        <v>240</v>
      </c>
      <c r="D361" s="3" t="s">
        <v>293</v>
      </c>
      <c r="E361" s="19" t="str">
        <f>VLOOKUP(D361,'Org Setup'!A:B,2,0)</f>
        <v>ES</v>
      </c>
      <c r="F361" s="23">
        <f>VLOOKUP(D361,'Org Setup'!A:D,4,0)</f>
        <v>5.0999999999999996</v>
      </c>
    </row>
    <row r="362" spans="1:6" x14ac:dyDescent="0.3">
      <c r="A362" s="6">
        <v>1700052241953</v>
      </c>
      <c r="B362" s="6">
        <f t="shared" si="5"/>
        <v>1</v>
      </c>
      <c r="C362" s="19" t="s">
        <v>240</v>
      </c>
      <c r="D362" s="3" t="s">
        <v>293</v>
      </c>
      <c r="E362" s="19" t="str">
        <f>VLOOKUP(D362,'Org Setup'!A:B,2,0)</f>
        <v>ES</v>
      </c>
      <c r="F362" s="23">
        <f>VLOOKUP(D362,'Org Setup'!A:D,4,0)</f>
        <v>5.0999999999999996</v>
      </c>
    </row>
    <row r="363" spans="1:6" x14ac:dyDescent="0.3">
      <c r="A363" s="6">
        <v>1700052239420</v>
      </c>
      <c r="B363" s="6">
        <f t="shared" si="5"/>
        <v>1</v>
      </c>
      <c r="C363" s="19" t="s">
        <v>240</v>
      </c>
      <c r="D363" s="3" t="s">
        <v>293</v>
      </c>
      <c r="E363" s="19" t="str">
        <f>VLOOKUP(D363,'Org Setup'!A:B,2,0)</f>
        <v>ES</v>
      </c>
      <c r="F363" s="23">
        <f>VLOOKUP(D363,'Org Setup'!A:D,4,0)</f>
        <v>5.0999999999999996</v>
      </c>
    </row>
    <row r="364" spans="1:6" x14ac:dyDescent="0.3">
      <c r="A364" s="6">
        <v>1700052238019</v>
      </c>
      <c r="B364" s="6">
        <f t="shared" si="5"/>
        <v>1</v>
      </c>
      <c r="C364" s="19" t="s">
        <v>240</v>
      </c>
      <c r="D364" s="3" t="s">
        <v>293</v>
      </c>
      <c r="E364" s="19" t="str">
        <f>VLOOKUP(D364,'Org Setup'!A:B,2,0)</f>
        <v>ES</v>
      </c>
      <c r="F364" s="23">
        <f>VLOOKUP(D364,'Org Setup'!A:D,4,0)</f>
        <v>5.0999999999999996</v>
      </c>
    </row>
    <row r="365" spans="1:6" x14ac:dyDescent="0.3">
      <c r="A365" s="6">
        <v>1700052217240</v>
      </c>
      <c r="B365" s="6">
        <f t="shared" si="5"/>
        <v>1</v>
      </c>
      <c r="C365" s="19" t="s">
        <v>240</v>
      </c>
      <c r="D365" s="3" t="s">
        <v>293</v>
      </c>
      <c r="E365" s="19" t="str">
        <f>VLOOKUP(D365,'Org Setup'!A:B,2,0)</f>
        <v>ES</v>
      </c>
      <c r="F365" s="23">
        <f>VLOOKUP(D365,'Org Setup'!A:D,4,0)</f>
        <v>5.0999999999999996</v>
      </c>
    </row>
    <row r="366" spans="1:6" x14ac:dyDescent="0.3">
      <c r="A366" s="6">
        <v>1700052217073</v>
      </c>
      <c r="B366" s="6">
        <f t="shared" si="5"/>
        <v>1</v>
      </c>
      <c r="C366" s="19" t="s">
        <v>240</v>
      </c>
      <c r="D366" s="3" t="s">
        <v>293</v>
      </c>
      <c r="E366" s="19" t="str">
        <f>VLOOKUP(D366,'Org Setup'!A:B,2,0)</f>
        <v>ES</v>
      </c>
      <c r="F366" s="23">
        <f>VLOOKUP(D366,'Org Setup'!A:D,4,0)</f>
        <v>5.0999999999999996</v>
      </c>
    </row>
    <row r="367" spans="1:6" x14ac:dyDescent="0.3">
      <c r="A367" s="6">
        <v>1700052198874</v>
      </c>
      <c r="B367" s="6">
        <f t="shared" si="5"/>
        <v>1</v>
      </c>
      <c r="C367" s="19" t="s">
        <v>240</v>
      </c>
      <c r="D367" s="3" t="s">
        <v>293</v>
      </c>
      <c r="E367" s="19" t="str">
        <f>VLOOKUP(D367,'Org Setup'!A:B,2,0)</f>
        <v>ES</v>
      </c>
      <c r="F367" s="23">
        <f>VLOOKUP(D367,'Org Setup'!A:D,4,0)</f>
        <v>5.0999999999999996</v>
      </c>
    </row>
    <row r="368" spans="1:6" x14ac:dyDescent="0.3">
      <c r="A368" s="6">
        <v>1610019210059</v>
      </c>
      <c r="B368" s="6">
        <f t="shared" si="5"/>
        <v>1</v>
      </c>
      <c r="C368" s="19" t="s">
        <v>240</v>
      </c>
      <c r="D368" s="3" t="s">
        <v>293</v>
      </c>
      <c r="E368" s="19" t="str">
        <f>VLOOKUP(D368,'Org Setup'!A:B,2,0)</f>
        <v>ES</v>
      </c>
      <c r="F368" s="23">
        <f>VLOOKUP(D368,'Org Setup'!A:D,4,0)</f>
        <v>5.0999999999999996</v>
      </c>
    </row>
    <row r="369" spans="1:8" x14ac:dyDescent="0.3">
      <c r="A369" s="6">
        <v>1610013062591</v>
      </c>
      <c r="B369" s="6">
        <f t="shared" si="5"/>
        <v>1</v>
      </c>
      <c r="C369" s="19" t="s">
        <v>240</v>
      </c>
      <c r="D369" s="3" t="s">
        <v>293</v>
      </c>
      <c r="E369" s="19" t="str">
        <f>VLOOKUP(D369,'Org Setup'!A:B,2,0)</f>
        <v>ES</v>
      </c>
      <c r="F369" s="23">
        <f>VLOOKUP(D369,'Org Setup'!A:D,4,0)</f>
        <v>5.0999999999999996</v>
      </c>
    </row>
    <row r="370" spans="1:8" x14ac:dyDescent="0.3">
      <c r="A370" s="6">
        <v>1591060673983</v>
      </c>
      <c r="B370" s="6">
        <f t="shared" si="5"/>
        <v>1</v>
      </c>
      <c r="C370" s="19" t="s">
        <v>240</v>
      </c>
      <c r="D370" s="3" t="s">
        <v>276</v>
      </c>
      <c r="E370" s="19" t="str">
        <f>VLOOKUP(D370,'Org Setup'!A:B,2,0)</f>
        <v>IS (1)</v>
      </c>
      <c r="F370" s="23">
        <f>VLOOKUP(D370,'Org Setup'!A:D,4,0)</f>
        <v>5.0999999999999996</v>
      </c>
      <c r="G370" s="29" t="s">
        <v>397</v>
      </c>
    </row>
    <row r="371" spans="1:8" x14ac:dyDescent="0.3">
      <c r="A371" s="6">
        <v>1591059061953</v>
      </c>
      <c r="B371" s="6">
        <f t="shared" si="5"/>
        <v>1</v>
      </c>
      <c r="C371" s="19" t="s">
        <v>240</v>
      </c>
      <c r="D371" s="3" t="s">
        <v>276</v>
      </c>
      <c r="E371" s="19" t="str">
        <f>VLOOKUP(D371,'Org Setup'!A:B,2,0)</f>
        <v>IS (1)</v>
      </c>
      <c r="F371" s="23">
        <f>VLOOKUP(D371,'Org Setup'!A:D,4,0)</f>
        <v>5.0999999999999996</v>
      </c>
    </row>
    <row r="372" spans="1:8" x14ac:dyDescent="0.3">
      <c r="A372" s="6">
        <v>1591059061545</v>
      </c>
      <c r="B372" s="6">
        <f t="shared" si="5"/>
        <v>1</v>
      </c>
      <c r="C372" s="19" t="s">
        <v>240</v>
      </c>
      <c r="D372" s="3" t="s">
        <v>293</v>
      </c>
      <c r="E372" s="19" t="str">
        <f>VLOOKUP(D372,'Org Setup'!A:B,2,0)</f>
        <v>ES</v>
      </c>
      <c r="F372" s="23">
        <f>VLOOKUP(D372,'Org Setup'!A:D,4,0)</f>
        <v>5.0999999999999996</v>
      </c>
      <c r="G372" s="9" t="s">
        <v>411</v>
      </c>
      <c r="H372" s="9" t="s">
        <v>412</v>
      </c>
    </row>
    <row r="373" spans="1:8" x14ac:dyDescent="0.3">
      <c r="A373" s="6">
        <v>1591059061067</v>
      </c>
      <c r="B373" s="6">
        <f t="shared" si="5"/>
        <v>1</v>
      </c>
      <c r="C373" s="19" t="s">
        <v>240</v>
      </c>
      <c r="D373" s="3" t="s">
        <v>276</v>
      </c>
      <c r="E373" s="19" t="str">
        <f>VLOOKUP(D373,'Org Setup'!A:B,2,0)</f>
        <v>IS (1)</v>
      </c>
      <c r="F373" s="23">
        <f>VLOOKUP(D373,'Org Setup'!A:D,4,0)</f>
        <v>5.0999999999999996</v>
      </c>
      <c r="G373" s="36" t="s">
        <v>413</v>
      </c>
      <c r="H373" s="40" t="s">
        <v>414</v>
      </c>
    </row>
    <row r="374" spans="1:8" x14ac:dyDescent="0.3">
      <c r="A374" s="6">
        <v>1591058633892</v>
      </c>
      <c r="B374" s="6">
        <f t="shared" si="5"/>
        <v>1</v>
      </c>
      <c r="C374" s="19" t="s">
        <v>240</v>
      </c>
      <c r="D374" s="3" t="s">
        <v>276</v>
      </c>
      <c r="E374" s="19" t="str">
        <f>VLOOKUP(D374,'Org Setup'!A:B,2,0)</f>
        <v>IS (1)</v>
      </c>
      <c r="F374" s="23">
        <f>VLOOKUP(D374,'Org Setup'!A:D,4,0)</f>
        <v>5.0999999999999996</v>
      </c>
    </row>
    <row r="375" spans="1:8" x14ac:dyDescent="0.3">
      <c r="A375" s="6">
        <v>1591058633173</v>
      </c>
      <c r="B375" s="6">
        <f t="shared" si="5"/>
        <v>1</v>
      </c>
      <c r="C375" s="19" t="s">
        <v>240</v>
      </c>
      <c r="D375" s="3" t="s">
        <v>276</v>
      </c>
      <c r="E375" s="19" t="str">
        <f>VLOOKUP(D375,'Org Setup'!A:B,2,0)</f>
        <v>IS (1)</v>
      </c>
      <c r="F375" s="23">
        <f>VLOOKUP(D375,'Org Setup'!A:D,4,0)</f>
        <v>5.0999999999999996</v>
      </c>
    </row>
    <row r="376" spans="1:8" x14ac:dyDescent="0.3">
      <c r="A376" s="6">
        <v>1591058565912</v>
      </c>
      <c r="B376" s="6">
        <f t="shared" si="5"/>
        <v>1</v>
      </c>
      <c r="C376" s="19" t="s">
        <v>240</v>
      </c>
      <c r="D376" s="3" t="s">
        <v>276</v>
      </c>
      <c r="E376" s="19" t="str">
        <f>VLOOKUP(D376,'Org Setup'!A:B,2,0)</f>
        <v>IS (1)</v>
      </c>
      <c r="F376" s="23">
        <f>VLOOKUP(D376,'Org Setup'!A:D,4,0)</f>
        <v>5.0999999999999996</v>
      </c>
      <c r="G376" s="36" t="s">
        <v>415</v>
      </c>
      <c r="H376" s="40" t="s">
        <v>416</v>
      </c>
    </row>
    <row r="377" spans="1:8" x14ac:dyDescent="0.3">
      <c r="A377" s="6">
        <v>1591057687503</v>
      </c>
      <c r="B377" s="6">
        <f t="shared" si="5"/>
        <v>1</v>
      </c>
      <c r="C377" s="19" t="s">
        <v>240</v>
      </c>
      <c r="D377" s="3" t="s">
        <v>276</v>
      </c>
      <c r="E377" s="19" t="str">
        <f>VLOOKUP(D377,'Org Setup'!A:B,2,0)</f>
        <v>IS (1)</v>
      </c>
      <c r="F377" s="23">
        <f>VLOOKUP(D377,'Org Setup'!A:D,4,0)</f>
        <v>5.0999999999999996</v>
      </c>
    </row>
    <row r="378" spans="1:8" x14ac:dyDescent="0.3">
      <c r="A378" s="6">
        <v>1591057687122</v>
      </c>
      <c r="B378" s="6">
        <f t="shared" si="5"/>
        <v>1</v>
      </c>
      <c r="C378" s="19" t="s">
        <v>240</v>
      </c>
      <c r="D378" s="3" t="s">
        <v>276</v>
      </c>
      <c r="E378" s="19" t="str">
        <f>VLOOKUP(D378,'Org Setup'!A:B,2,0)</f>
        <v>IS (1)</v>
      </c>
      <c r="F378" s="23">
        <f>VLOOKUP(D378,'Org Setup'!A:D,4,0)</f>
        <v>5.0999999999999996</v>
      </c>
    </row>
    <row r="379" spans="1:8" x14ac:dyDescent="0.3">
      <c r="A379" s="6">
        <v>1591057481527</v>
      </c>
      <c r="B379" s="6">
        <f t="shared" si="5"/>
        <v>1</v>
      </c>
      <c r="C379" s="19" t="s">
        <v>240</v>
      </c>
      <c r="D379" s="3" t="s">
        <v>276</v>
      </c>
      <c r="E379" s="19" t="str">
        <f>VLOOKUP(D379,'Org Setup'!A:B,2,0)</f>
        <v>IS (1)</v>
      </c>
      <c r="F379" s="23">
        <f>VLOOKUP(D379,'Org Setup'!A:D,4,0)</f>
        <v>5.0999999999999996</v>
      </c>
    </row>
    <row r="380" spans="1:8" x14ac:dyDescent="0.3">
      <c r="A380" s="6">
        <v>1591057481457</v>
      </c>
      <c r="B380" s="6">
        <f t="shared" si="5"/>
        <v>1</v>
      </c>
      <c r="C380" s="19" t="s">
        <v>240</v>
      </c>
      <c r="D380" s="3" t="s">
        <v>276</v>
      </c>
      <c r="E380" s="19" t="str">
        <f>VLOOKUP(D380,'Org Setup'!A:B,2,0)</f>
        <v>IS (1)</v>
      </c>
      <c r="F380" s="23">
        <f>VLOOKUP(D380,'Org Setup'!A:D,4,0)</f>
        <v>5.0999999999999996</v>
      </c>
    </row>
    <row r="381" spans="1:8" x14ac:dyDescent="0.3">
      <c r="A381" s="6">
        <v>1591054771437</v>
      </c>
      <c r="B381" s="6">
        <f t="shared" si="5"/>
        <v>1</v>
      </c>
      <c r="C381" s="19" t="s">
        <v>240</v>
      </c>
      <c r="D381" s="3" t="s">
        <v>276</v>
      </c>
      <c r="E381" s="19" t="str">
        <f>VLOOKUP(D381,'Org Setup'!A:B,2,0)</f>
        <v>IS (1)</v>
      </c>
      <c r="F381" s="23">
        <f>VLOOKUP(D381,'Org Setup'!A:D,4,0)</f>
        <v>5.0999999999999996</v>
      </c>
    </row>
    <row r="382" spans="1:8" x14ac:dyDescent="0.3">
      <c r="A382" s="6">
        <v>1591051943332</v>
      </c>
      <c r="B382" s="6">
        <f t="shared" si="5"/>
        <v>1</v>
      </c>
      <c r="C382" s="19" t="s">
        <v>240</v>
      </c>
      <c r="D382" s="3" t="s">
        <v>276</v>
      </c>
      <c r="E382" s="19" t="str">
        <f>VLOOKUP(D382,'Org Setup'!A:B,2,0)</f>
        <v>IS (1)</v>
      </c>
      <c r="F382" s="23">
        <f>VLOOKUP(D382,'Org Setup'!A:D,4,0)</f>
        <v>5.0999999999999996</v>
      </c>
    </row>
    <row r="383" spans="1:8" x14ac:dyDescent="0.3">
      <c r="A383" s="6">
        <v>1591051316800</v>
      </c>
      <c r="B383" s="6">
        <f t="shared" si="5"/>
        <v>1</v>
      </c>
      <c r="C383" s="19" t="s">
        <v>240</v>
      </c>
      <c r="D383" s="3" t="s">
        <v>276</v>
      </c>
      <c r="E383" s="19" t="str">
        <f>VLOOKUP(D383,'Org Setup'!A:B,2,0)</f>
        <v>IS (1)</v>
      </c>
      <c r="F383" s="23">
        <f>VLOOKUP(D383,'Org Setup'!A:D,4,0)</f>
        <v>5.0999999999999996</v>
      </c>
    </row>
    <row r="384" spans="1:8" x14ac:dyDescent="0.3">
      <c r="A384" s="6">
        <v>1591050546090</v>
      </c>
      <c r="B384" s="6">
        <f t="shared" si="5"/>
        <v>1</v>
      </c>
      <c r="C384" s="19" t="s">
        <v>240</v>
      </c>
      <c r="D384" s="3" t="s">
        <v>293</v>
      </c>
      <c r="E384" s="19" t="str">
        <f>VLOOKUP(D384,'Org Setup'!A:B,2,0)</f>
        <v>ES</v>
      </c>
      <c r="F384" s="23">
        <f>VLOOKUP(D384,'Org Setup'!A:D,4,0)</f>
        <v>5.0999999999999996</v>
      </c>
    </row>
    <row r="385" spans="1:9" x14ac:dyDescent="0.3">
      <c r="A385" s="6">
        <v>1591049900116</v>
      </c>
      <c r="B385" s="6">
        <f t="shared" si="5"/>
        <v>1</v>
      </c>
      <c r="C385" s="19" t="s">
        <v>240</v>
      </c>
      <c r="D385" s="3" t="s">
        <v>276</v>
      </c>
      <c r="E385" s="19" t="str">
        <f>VLOOKUP(D385,'Org Setup'!A:B,2,0)</f>
        <v>IS (1)</v>
      </c>
      <c r="F385" s="23">
        <f>VLOOKUP(D385,'Org Setup'!A:D,4,0)</f>
        <v>5.0999999999999996</v>
      </c>
    </row>
    <row r="386" spans="1:9" x14ac:dyDescent="0.3">
      <c r="A386" s="6">
        <v>1591047509609</v>
      </c>
      <c r="B386" s="6">
        <f t="shared" si="5"/>
        <v>1</v>
      </c>
      <c r="C386" s="19" t="s">
        <v>240</v>
      </c>
      <c r="D386" s="3" t="s">
        <v>276</v>
      </c>
      <c r="E386" s="19" t="str">
        <f>VLOOKUP(D386,'Org Setup'!A:B,2,0)</f>
        <v>IS (1)</v>
      </c>
      <c r="F386" s="23">
        <f>VLOOKUP(D386,'Org Setup'!A:D,4,0)</f>
        <v>5.0999999999999996</v>
      </c>
      <c r="G386" s="36" t="s">
        <v>341</v>
      </c>
      <c r="H386" s="40" t="s">
        <v>417</v>
      </c>
    </row>
    <row r="387" spans="1:9" x14ac:dyDescent="0.3">
      <c r="A387" s="6">
        <v>1591041889680</v>
      </c>
      <c r="B387" s="6">
        <f t="shared" ref="B387:B411" si="6">COUNTIF(A$2:A$411,A387)</f>
        <v>1</v>
      </c>
      <c r="C387" s="19" t="s">
        <v>240</v>
      </c>
      <c r="D387" s="3" t="s">
        <v>293</v>
      </c>
      <c r="E387" s="19" t="str">
        <f>VLOOKUP(D387,'Org Setup'!A:B,2,0)</f>
        <v>ES</v>
      </c>
      <c r="F387" s="23">
        <f>VLOOKUP(D387,'Org Setup'!A:D,4,0)</f>
        <v>5.0999999999999996</v>
      </c>
      <c r="H387" s="9" t="s">
        <v>418</v>
      </c>
    </row>
    <row r="388" spans="1:9" x14ac:dyDescent="0.3">
      <c r="A388" s="6">
        <v>1591041500131</v>
      </c>
      <c r="B388" s="6">
        <f t="shared" si="6"/>
        <v>1</v>
      </c>
      <c r="C388" s="19" t="s">
        <v>240</v>
      </c>
      <c r="D388" s="3" t="s">
        <v>276</v>
      </c>
      <c r="E388" s="19" t="str">
        <f>VLOOKUP(D388,'Org Setup'!A:B,2,0)</f>
        <v>IS (1)</v>
      </c>
      <c r="F388" s="23">
        <f>VLOOKUP(D388,'Org Setup'!A:D,4,0)</f>
        <v>5.0999999999999996</v>
      </c>
    </row>
    <row r="389" spans="1:9" x14ac:dyDescent="0.3">
      <c r="A389" s="6">
        <v>1591041361805</v>
      </c>
      <c r="B389" s="6">
        <f t="shared" si="6"/>
        <v>1</v>
      </c>
      <c r="C389" s="19" t="s">
        <v>240</v>
      </c>
      <c r="D389" s="3" t="s">
        <v>276</v>
      </c>
      <c r="E389" s="19" t="str">
        <f>VLOOKUP(D389,'Org Setup'!A:B,2,0)</f>
        <v>IS (1)</v>
      </c>
      <c r="F389" s="23">
        <f>VLOOKUP(D389,'Org Setup'!A:D,4,0)</f>
        <v>5.0999999999999996</v>
      </c>
    </row>
    <row r="390" spans="1:9" x14ac:dyDescent="0.3">
      <c r="A390" s="6">
        <v>1591040733403</v>
      </c>
      <c r="B390" s="6">
        <f t="shared" si="6"/>
        <v>1</v>
      </c>
      <c r="C390" s="19" t="s">
        <v>240</v>
      </c>
      <c r="D390" s="3" t="s">
        <v>276</v>
      </c>
      <c r="E390" s="19" t="str">
        <f>VLOOKUP(D390,'Org Setup'!A:B,2,0)</f>
        <v>IS (1)</v>
      </c>
      <c r="F390" s="23">
        <f>VLOOKUP(D390,'Org Setup'!A:D,4,0)</f>
        <v>5.0999999999999996</v>
      </c>
    </row>
    <row r="391" spans="1:9" x14ac:dyDescent="0.3">
      <c r="A391" s="6">
        <v>1591038182430</v>
      </c>
      <c r="B391" s="6">
        <f t="shared" si="6"/>
        <v>1</v>
      </c>
      <c r="C391" s="19" t="s">
        <v>240</v>
      </c>
      <c r="D391" s="3" t="s">
        <v>276</v>
      </c>
      <c r="E391" s="19" t="str">
        <f>VLOOKUP(D391,'Org Setup'!A:B,2,0)</f>
        <v>IS (1)</v>
      </c>
      <c r="F391" s="23">
        <f>VLOOKUP(D391,'Org Setup'!A:D,4,0)</f>
        <v>5.0999999999999996</v>
      </c>
    </row>
    <row r="392" spans="1:9" x14ac:dyDescent="0.3">
      <c r="A392" s="6">
        <v>1591037661069</v>
      </c>
      <c r="B392" s="6">
        <f t="shared" si="6"/>
        <v>1</v>
      </c>
      <c r="C392" s="19" t="s">
        <v>240</v>
      </c>
      <c r="D392" s="3" t="s">
        <v>276</v>
      </c>
      <c r="E392" s="19" t="str">
        <f>VLOOKUP(D392,'Org Setup'!A:B,2,0)</f>
        <v>IS (1)</v>
      </c>
      <c r="F392" s="23">
        <f>VLOOKUP(D392,'Org Setup'!A:D,4,0)</f>
        <v>5.0999999999999996</v>
      </c>
      <c r="H392" s="9" t="s">
        <v>418</v>
      </c>
    </row>
    <row r="393" spans="1:9" x14ac:dyDescent="0.3">
      <c r="A393" s="6">
        <v>1591037369486</v>
      </c>
      <c r="B393" s="6">
        <f t="shared" si="6"/>
        <v>1</v>
      </c>
      <c r="C393" s="19" t="s">
        <v>240</v>
      </c>
      <c r="D393" s="3" t="s">
        <v>293</v>
      </c>
      <c r="E393" s="19" t="str">
        <f>VLOOKUP(D393,'Org Setup'!A:B,2,0)</f>
        <v>ES</v>
      </c>
      <c r="F393" s="23">
        <f>VLOOKUP(D393,'Org Setup'!A:D,4,0)</f>
        <v>5.0999999999999996</v>
      </c>
      <c r="G393" s="9" t="s">
        <v>419</v>
      </c>
      <c r="H393" s="9" t="s">
        <v>420</v>
      </c>
    </row>
    <row r="394" spans="1:9" x14ac:dyDescent="0.3">
      <c r="A394" s="6">
        <v>1591035595316</v>
      </c>
      <c r="B394" s="6">
        <f t="shared" si="6"/>
        <v>1</v>
      </c>
      <c r="C394" s="19" t="s">
        <v>240</v>
      </c>
      <c r="D394" s="3" t="s">
        <v>276</v>
      </c>
      <c r="E394" s="19" t="str">
        <f>VLOOKUP(D394,'Org Setup'!A:B,2,0)</f>
        <v>IS (1)</v>
      </c>
      <c r="F394" s="23">
        <f>VLOOKUP(D394,'Org Setup'!A:D,4,0)</f>
        <v>5.0999999999999996</v>
      </c>
    </row>
    <row r="395" spans="1:9" x14ac:dyDescent="0.3">
      <c r="A395" s="6">
        <v>1591031825848</v>
      </c>
      <c r="B395" s="6">
        <f t="shared" si="6"/>
        <v>1</v>
      </c>
      <c r="C395" s="19" t="s">
        <v>240</v>
      </c>
      <c r="D395" s="3" t="s">
        <v>276</v>
      </c>
      <c r="E395" s="19" t="str">
        <f>VLOOKUP(D395,'Org Setup'!A:B,2,0)</f>
        <v>IS (1)</v>
      </c>
      <c r="F395" s="23">
        <f>VLOOKUP(D395,'Org Setup'!A:D,4,0)</f>
        <v>5.0999999999999996</v>
      </c>
    </row>
    <row r="396" spans="1:9" x14ac:dyDescent="0.3">
      <c r="A396" s="6">
        <v>1591031234091</v>
      </c>
      <c r="B396" s="6">
        <f t="shared" si="6"/>
        <v>1</v>
      </c>
      <c r="C396" s="19" t="s">
        <v>240</v>
      </c>
      <c r="D396" s="3" t="s">
        <v>276</v>
      </c>
      <c r="E396" s="19" t="str">
        <f>VLOOKUP(D396,'Org Setup'!A:B,2,0)</f>
        <v>IS (1)</v>
      </c>
      <c r="F396" s="23">
        <f>VLOOKUP(D396,'Org Setup'!A:D,4,0)</f>
        <v>5.0999999999999996</v>
      </c>
    </row>
    <row r="397" spans="1:9" x14ac:dyDescent="0.3">
      <c r="A397" s="6">
        <v>1591029660370</v>
      </c>
      <c r="B397" s="6">
        <f t="shared" si="6"/>
        <v>1</v>
      </c>
      <c r="C397" s="19" t="s">
        <v>240</v>
      </c>
      <c r="D397" s="3" t="s">
        <v>276</v>
      </c>
      <c r="E397" s="19" t="str">
        <f>VLOOKUP(D397,'Org Setup'!A:B,2,0)</f>
        <v>IS (1)</v>
      </c>
      <c r="F397" s="23">
        <f>VLOOKUP(D397,'Org Setup'!A:D,4,0)</f>
        <v>5.0999999999999996</v>
      </c>
      <c r="H397" s="9" t="s">
        <v>384</v>
      </c>
      <c r="I397" s="9" t="s">
        <v>421</v>
      </c>
    </row>
    <row r="398" spans="1:9" x14ac:dyDescent="0.3">
      <c r="A398" s="6">
        <v>1591023958454</v>
      </c>
      <c r="B398" s="6">
        <f t="shared" si="6"/>
        <v>1</v>
      </c>
      <c r="C398" s="19" t="s">
        <v>240</v>
      </c>
      <c r="D398" s="3" t="s">
        <v>293</v>
      </c>
      <c r="E398" s="19" t="str">
        <f>VLOOKUP(D398,'Org Setup'!A:B,2,0)</f>
        <v>ES</v>
      </c>
      <c r="F398" s="23">
        <f>VLOOKUP(D398,'Org Setup'!A:D,4,0)</f>
        <v>5.0999999999999996</v>
      </c>
    </row>
    <row r="399" spans="1:9" x14ac:dyDescent="0.3">
      <c r="A399" s="6">
        <v>1591023714287</v>
      </c>
      <c r="B399" s="6">
        <f t="shared" si="6"/>
        <v>1</v>
      </c>
      <c r="C399" s="19" t="s">
        <v>240</v>
      </c>
      <c r="D399" s="3" t="s">
        <v>293</v>
      </c>
      <c r="E399" s="19" t="str">
        <f>VLOOKUP(D399,'Org Setup'!A:B,2,0)</f>
        <v>ES</v>
      </c>
      <c r="F399" s="23">
        <f>VLOOKUP(D399,'Org Setup'!A:D,4,0)</f>
        <v>5.0999999999999996</v>
      </c>
    </row>
    <row r="400" spans="1:9" x14ac:dyDescent="0.3">
      <c r="A400" s="6">
        <v>1591022820870</v>
      </c>
      <c r="B400" s="6">
        <f t="shared" si="6"/>
        <v>1</v>
      </c>
      <c r="C400" s="19" t="s">
        <v>240</v>
      </c>
      <c r="D400" s="3" t="s">
        <v>276</v>
      </c>
      <c r="E400" s="19" t="str">
        <f>VLOOKUP(D400,'Org Setup'!A:B,2,0)</f>
        <v>IS (1)</v>
      </c>
      <c r="F400" s="23">
        <f>VLOOKUP(D400,'Org Setup'!A:D,4,0)</f>
        <v>5.0999999999999996</v>
      </c>
      <c r="H400" s="9" t="s">
        <v>422</v>
      </c>
      <c r="I400" s="9" t="s">
        <v>421</v>
      </c>
    </row>
    <row r="401" spans="1:10" x14ac:dyDescent="0.3">
      <c r="A401" s="6">
        <v>1591022820453</v>
      </c>
      <c r="B401" s="6">
        <f t="shared" si="6"/>
        <v>1</v>
      </c>
      <c r="C401" s="19" t="s">
        <v>240</v>
      </c>
      <c r="D401" s="3" t="s">
        <v>276</v>
      </c>
      <c r="E401" s="19" t="str">
        <f>VLOOKUP(D401,'Org Setup'!A:B,2,0)</f>
        <v>IS (1)</v>
      </c>
      <c r="F401" s="23">
        <f>VLOOKUP(D401,'Org Setup'!A:D,4,0)</f>
        <v>5.0999999999999996</v>
      </c>
      <c r="G401" s="9" t="s">
        <v>423</v>
      </c>
    </row>
    <row r="402" spans="1:10" x14ac:dyDescent="0.3">
      <c r="A402" s="6">
        <v>1418409090006</v>
      </c>
      <c r="B402" s="6">
        <f t="shared" si="6"/>
        <v>1</v>
      </c>
      <c r="C402" s="19" t="s">
        <v>240</v>
      </c>
      <c r="D402" s="3" t="s">
        <v>276</v>
      </c>
      <c r="E402" s="19" t="str">
        <f>VLOOKUP(D402,'Org Setup'!A:B,2,0)</f>
        <v>IS (1)</v>
      </c>
      <c r="F402" s="23">
        <f>VLOOKUP(D402,'Org Setup'!A:D,4,0)</f>
        <v>5.0999999999999996</v>
      </c>
      <c r="G402" s="36" t="s">
        <v>424</v>
      </c>
      <c r="H402" s="36" t="s">
        <v>425</v>
      </c>
    </row>
    <row r="403" spans="1:10" x14ac:dyDescent="0.3">
      <c r="A403" s="6">
        <v>1413883031006</v>
      </c>
      <c r="B403" s="6">
        <f t="shared" si="6"/>
        <v>1</v>
      </c>
      <c r="C403" s="19" t="s">
        <v>240</v>
      </c>
      <c r="D403" s="3" t="s">
        <v>276</v>
      </c>
      <c r="E403" s="19" t="str">
        <f>VLOOKUP(D403,'Org Setup'!A:B,2,0)</f>
        <v>IS (1)</v>
      </c>
      <c r="F403" s="23">
        <v>3</v>
      </c>
      <c r="G403" s="36" t="s">
        <v>426</v>
      </c>
      <c r="H403" s="40" t="s">
        <v>427</v>
      </c>
      <c r="I403" s="33" t="s">
        <v>369</v>
      </c>
      <c r="J403" s="33" t="s">
        <v>370</v>
      </c>
    </row>
    <row r="404" spans="1:10" x14ac:dyDescent="0.3">
      <c r="A404" s="6">
        <v>1413759081005</v>
      </c>
      <c r="B404" s="6">
        <f t="shared" si="6"/>
        <v>1</v>
      </c>
      <c r="C404" s="19" t="s">
        <v>240</v>
      </c>
      <c r="D404" s="3" t="s">
        <v>276</v>
      </c>
      <c r="E404" s="19" t="str">
        <f>VLOOKUP(D404,'Org Setup'!A:B,2,0)</f>
        <v>IS (1)</v>
      </c>
      <c r="F404" s="23">
        <f>VLOOKUP(D404,'Org Setup'!A:D,4,0)</f>
        <v>5.0999999999999996</v>
      </c>
      <c r="G404" s="36" t="s">
        <v>411</v>
      </c>
      <c r="H404" s="9" t="s">
        <v>412</v>
      </c>
    </row>
    <row r="405" spans="1:10" x14ac:dyDescent="0.3">
      <c r="A405" s="6">
        <v>1412629980000</v>
      </c>
      <c r="B405" s="6">
        <f t="shared" si="6"/>
        <v>1</v>
      </c>
      <c r="C405" s="19" t="s">
        <v>240</v>
      </c>
      <c r="D405" s="3" t="s">
        <v>276</v>
      </c>
      <c r="E405" s="19" t="str">
        <f>VLOOKUP(D405,'Org Setup'!A:B,2,0)</f>
        <v>IS (1)</v>
      </c>
      <c r="F405" s="23">
        <f>VLOOKUP(D405,'Org Setup'!A:D,4,0)</f>
        <v>5.0999999999999996</v>
      </c>
      <c r="G405" s="38" t="s">
        <v>428</v>
      </c>
      <c r="H405" s="38" t="s">
        <v>429</v>
      </c>
    </row>
    <row r="406" spans="1:10" x14ac:dyDescent="0.3">
      <c r="A406" s="6">
        <v>1412346071003</v>
      </c>
      <c r="B406" s="6">
        <f t="shared" si="6"/>
        <v>1</v>
      </c>
      <c r="C406" s="19" t="s">
        <v>240</v>
      </c>
      <c r="D406" s="3" t="s">
        <v>276</v>
      </c>
      <c r="E406" s="19" t="str">
        <f>VLOOKUP(D406,'Org Setup'!A:B,2,0)</f>
        <v>IS (1)</v>
      </c>
      <c r="F406" s="23">
        <f>VLOOKUP(D406,'Org Setup'!A:D,4,0)</f>
        <v>5.0999999999999996</v>
      </c>
      <c r="G406" s="36" t="s">
        <v>430</v>
      </c>
      <c r="H406" s="40" t="s">
        <v>431</v>
      </c>
    </row>
    <row r="407" spans="1:10" x14ac:dyDescent="0.3">
      <c r="A407" s="6">
        <v>1200010033681</v>
      </c>
      <c r="B407" s="6">
        <f t="shared" si="6"/>
        <v>1</v>
      </c>
      <c r="C407" s="19" t="s">
        <v>240</v>
      </c>
      <c r="D407" s="3" t="s">
        <v>276</v>
      </c>
      <c r="E407" s="19" t="str">
        <f>VLOOKUP(D407,'Org Setup'!A:B,2,0)</f>
        <v>IS (1)</v>
      </c>
      <c r="F407" s="23">
        <f>VLOOKUP(D407,'Org Setup'!A:D,4,0)</f>
        <v>5.0999999999999996</v>
      </c>
      <c r="G407" s="36" t="s">
        <v>432</v>
      </c>
      <c r="H407" s="40" t="s">
        <v>433</v>
      </c>
    </row>
    <row r="408" spans="1:10" x14ac:dyDescent="0.3">
      <c r="A408" s="6">
        <v>1012848666874</v>
      </c>
      <c r="B408" s="6">
        <f t="shared" si="6"/>
        <v>1</v>
      </c>
      <c r="C408" s="19" t="s">
        <v>240</v>
      </c>
      <c r="D408" s="3" t="s">
        <v>276</v>
      </c>
      <c r="E408" s="19" t="str">
        <f>VLOOKUP(D408,'Org Setup'!A:B,2,0)</f>
        <v>IS (1)</v>
      </c>
      <c r="F408" s="23">
        <f>VLOOKUP(D408,'Org Setup'!A:D,4,0)</f>
        <v>5.0999999999999996</v>
      </c>
      <c r="G408" s="36" t="s">
        <v>434</v>
      </c>
      <c r="H408" s="40" t="s">
        <v>422</v>
      </c>
    </row>
    <row r="409" spans="1:10" x14ac:dyDescent="0.3">
      <c r="A409" s="6">
        <v>1012795044444</v>
      </c>
      <c r="B409" s="6">
        <f t="shared" si="6"/>
        <v>1</v>
      </c>
      <c r="C409" s="19" t="s">
        <v>240</v>
      </c>
      <c r="D409" s="3" t="s">
        <v>276</v>
      </c>
      <c r="E409" s="19" t="str">
        <f>VLOOKUP(D409,'Org Setup'!A:B,2,0)</f>
        <v>IS (1)</v>
      </c>
      <c r="F409" s="23">
        <f>VLOOKUP(D409,'Org Setup'!A:D,4,0)</f>
        <v>5.0999999999999996</v>
      </c>
      <c r="G409" s="36" t="s">
        <v>435</v>
      </c>
      <c r="H409" s="40" t="s">
        <v>436</v>
      </c>
    </row>
    <row r="410" spans="1:10" x14ac:dyDescent="0.3">
      <c r="A410" s="6">
        <v>1012791523372</v>
      </c>
      <c r="B410" s="6">
        <f t="shared" si="6"/>
        <v>1</v>
      </c>
      <c r="C410" s="19" t="s">
        <v>240</v>
      </c>
      <c r="D410" s="3" t="s">
        <v>276</v>
      </c>
      <c r="E410" s="19" t="str">
        <f>VLOOKUP(D410,'Org Setup'!A:B,2,0)</f>
        <v>IS (1)</v>
      </c>
      <c r="F410" s="23">
        <f>VLOOKUP(D410,'Org Setup'!A:D,4,0)</f>
        <v>5.0999999999999996</v>
      </c>
      <c r="G410" s="36" t="s">
        <v>437</v>
      </c>
      <c r="H410" s="40" t="s">
        <v>438</v>
      </c>
    </row>
    <row r="411" spans="1:10" x14ac:dyDescent="0.3">
      <c r="A411" s="6">
        <v>1012779869271</v>
      </c>
      <c r="B411" s="6">
        <f t="shared" si="6"/>
        <v>1</v>
      </c>
      <c r="C411" s="19" t="s">
        <v>240</v>
      </c>
      <c r="D411" s="3" t="s">
        <v>276</v>
      </c>
      <c r="E411" s="19" t="str">
        <f>VLOOKUP(D411,'Org Setup'!A:B,2,0)</f>
        <v>IS (1)</v>
      </c>
      <c r="F411" s="23">
        <f>VLOOKUP(D411,'Org Setup'!A:D,4,0)</f>
        <v>5.0999999999999996</v>
      </c>
      <c r="G411" s="36" t="s">
        <v>439</v>
      </c>
      <c r="H411" s="40" t="s">
        <v>440</v>
      </c>
    </row>
  </sheetData>
  <autoFilter ref="A1:M411" xr:uid="{8D5DC16F-F7CC-4DF3-B172-CD0ABCDB6565}"/>
  <pageMargins left="0.7" right="0.7" top="0.75" bottom="0.75" header="0.3" footer="0.3"/>
  <headerFooter>
    <oddHeader>&amp;C&amp;"Calibri"&amp;10&amp;KFF0000 DCC Controlled&amp;1#_x000D_</oddHeader>
    <oddFooter>&amp;C_x000D_&amp;1#&amp;"Calibri"&amp;10&amp;KFF0000 DCC Controlled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05CA-38CB-4DFF-9E84-E8811DEB57A8}">
  <sheetPr filterMode="1"/>
  <dimension ref="A1:H211"/>
  <sheetViews>
    <sheetView workbookViewId="0">
      <selection activeCell="D61" sqref="D61"/>
    </sheetView>
  </sheetViews>
  <sheetFormatPr defaultRowHeight="14.4" x14ac:dyDescent="0.3"/>
  <cols>
    <col min="1" max="2" width="19" customWidth="1"/>
    <col min="3" max="3" width="13" bestFit="1" customWidth="1"/>
    <col min="4" max="4" width="25.88671875" bestFit="1" customWidth="1"/>
    <col min="5" max="5" width="10.88671875" bestFit="1" customWidth="1"/>
    <col min="6" max="6" width="13.109375" style="28" bestFit="1" customWidth="1"/>
    <col min="7" max="7" width="29" customWidth="1"/>
    <col min="8" max="8" width="15.88671875" customWidth="1"/>
  </cols>
  <sheetData>
    <row r="1" spans="1:8" x14ac:dyDescent="0.3">
      <c r="A1" s="5" t="s">
        <v>441</v>
      </c>
      <c r="B1" s="5" t="s">
        <v>442</v>
      </c>
      <c r="C1" s="5" t="s">
        <v>4</v>
      </c>
      <c r="D1" s="17" t="s">
        <v>335</v>
      </c>
      <c r="E1" s="18" t="s">
        <v>1</v>
      </c>
      <c r="F1" s="25" t="s">
        <v>3</v>
      </c>
      <c r="G1" s="18" t="s">
        <v>336</v>
      </c>
      <c r="H1" s="18" t="s">
        <v>443</v>
      </c>
    </row>
    <row r="2" spans="1:8" hidden="1" x14ac:dyDescent="0.3">
      <c r="A2" s="6">
        <v>8840678400</v>
      </c>
      <c r="B2" s="6">
        <f>COUNTIF(A$2:A$211,A2)</f>
        <v>1</v>
      </c>
      <c r="C2" s="7" t="s">
        <v>163</v>
      </c>
      <c r="D2" s="3" t="s">
        <v>210</v>
      </c>
      <c r="E2" s="3" t="str">
        <f>VLOOKUP(D2,'Org Setup'!A:B,2,0)</f>
        <v>GS (1)</v>
      </c>
      <c r="F2" s="27">
        <f>VLOOKUP(D2,'Org Setup'!A:D,4,0)</f>
        <v>5.0999999999999996</v>
      </c>
      <c r="G2" s="9" t="s">
        <v>444</v>
      </c>
      <c r="H2" s="7" t="s">
        <v>372</v>
      </c>
    </row>
    <row r="3" spans="1:8" x14ac:dyDescent="0.3">
      <c r="A3" s="6">
        <v>7454590409</v>
      </c>
      <c r="B3" s="6">
        <f t="shared" ref="B3:B66" si="0">COUNTIF(A$2:A$211,A3)</f>
        <v>1</v>
      </c>
      <c r="C3" s="7" t="s">
        <v>240</v>
      </c>
      <c r="D3" s="3" t="s">
        <v>294</v>
      </c>
      <c r="E3" s="3" t="str">
        <f>VLOOKUP(D3,'Org Setup'!A:B,2,0)</f>
        <v>GS (1)</v>
      </c>
      <c r="F3" s="27">
        <f>VLOOKUP(D3,'Org Setup'!A:D,4,0)</f>
        <v>5.0999999999999996</v>
      </c>
      <c r="G3" s="21" t="s">
        <v>445</v>
      </c>
      <c r="H3" s="22" t="s">
        <v>436</v>
      </c>
    </row>
    <row r="4" spans="1:8" x14ac:dyDescent="0.3">
      <c r="A4" s="6">
        <v>7454577709</v>
      </c>
      <c r="B4" s="6">
        <f t="shared" si="0"/>
        <v>1</v>
      </c>
      <c r="C4" s="7" t="s">
        <v>240</v>
      </c>
      <c r="D4" s="3" t="s">
        <v>294</v>
      </c>
      <c r="E4" s="3" t="str">
        <f>VLOOKUP(D4,'Org Setup'!A:B,2,0)</f>
        <v>GS (1)</v>
      </c>
      <c r="F4" s="27">
        <f>VLOOKUP(D4,'Org Setup'!A:D,4,0)</f>
        <v>5.0999999999999996</v>
      </c>
      <c r="G4" s="21" t="s">
        <v>446</v>
      </c>
      <c r="H4" s="22" t="s">
        <v>438</v>
      </c>
    </row>
    <row r="5" spans="1:8" x14ac:dyDescent="0.3">
      <c r="A5" s="6">
        <v>7454574501</v>
      </c>
      <c r="B5" s="6">
        <f t="shared" si="0"/>
        <v>1</v>
      </c>
      <c r="C5" s="7" t="s">
        <v>240</v>
      </c>
      <c r="D5" s="3" t="s">
        <v>294</v>
      </c>
      <c r="E5" s="3" t="str">
        <f>VLOOKUP(D5,'Org Setup'!A:B,2,0)</f>
        <v>GS (1)</v>
      </c>
      <c r="F5" s="27">
        <f>VLOOKUP(D5,'Org Setup'!A:D,4,0)</f>
        <v>5.0999999999999996</v>
      </c>
      <c r="G5" s="21" t="s">
        <v>447</v>
      </c>
      <c r="H5" s="22" t="s">
        <v>422</v>
      </c>
    </row>
    <row r="6" spans="1:8" hidden="1" x14ac:dyDescent="0.3">
      <c r="A6" s="6">
        <v>690578100</v>
      </c>
      <c r="B6" s="6">
        <f t="shared" si="0"/>
        <v>1</v>
      </c>
      <c r="C6" s="7" t="s">
        <v>163</v>
      </c>
      <c r="D6" s="3" t="s">
        <v>210</v>
      </c>
      <c r="E6" s="3" t="str">
        <f>VLOOKUP(D6,'Org Setup'!A:B,2,0)</f>
        <v>GS (1)</v>
      </c>
      <c r="F6" s="27">
        <f>VLOOKUP(D6,'Org Setup'!A:D,4,0)</f>
        <v>5.0999999999999996</v>
      </c>
    </row>
    <row r="7" spans="1:8" hidden="1" x14ac:dyDescent="0.3">
      <c r="A7" s="6">
        <v>689400109</v>
      </c>
      <c r="B7" s="6">
        <f t="shared" si="0"/>
        <v>1</v>
      </c>
      <c r="C7" s="7" t="s">
        <v>163</v>
      </c>
      <c r="D7" s="3" t="s">
        <v>210</v>
      </c>
      <c r="E7" s="3" t="str">
        <f>VLOOKUP(D7,'Org Setup'!A:B,2,0)</f>
        <v>GS (1)</v>
      </c>
      <c r="F7" s="27">
        <f>VLOOKUP(D7,'Org Setup'!A:D,4,0)</f>
        <v>5.0999999999999996</v>
      </c>
      <c r="G7" s="7"/>
      <c r="H7" s="7"/>
    </row>
    <row r="8" spans="1:8" hidden="1" x14ac:dyDescent="0.3">
      <c r="A8" s="6">
        <v>688297003</v>
      </c>
      <c r="B8" s="6">
        <f t="shared" si="0"/>
        <v>1</v>
      </c>
      <c r="C8" s="7" t="s">
        <v>163</v>
      </c>
      <c r="D8" s="3" t="s">
        <v>210</v>
      </c>
      <c r="E8" s="3" t="str">
        <f>VLOOKUP(D8,'Org Setup'!A:B,2,0)</f>
        <v>GS (1)</v>
      </c>
      <c r="F8" s="27">
        <f>VLOOKUP(D8,'Org Setup'!A:D,4,0)</f>
        <v>5.0999999999999996</v>
      </c>
      <c r="G8" s="7"/>
      <c r="H8" s="7"/>
    </row>
    <row r="9" spans="1:8" hidden="1" x14ac:dyDescent="0.3">
      <c r="A9" s="6">
        <v>687946907</v>
      </c>
      <c r="B9" s="6">
        <f t="shared" si="0"/>
        <v>1</v>
      </c>
      <c r="C9" s="7" t="s">
        <v>163</v>
      </c>
      <c r="D9" s="3" t="s">
        <v>210</v>
      </c>
      <c r="E9" s="3" t="str">
        <f>VLOOKUP(D9,'Org Setup'!A:B,2,0)</f>
        <v>GS (1)</v>
      </c>
      <c r="F9" s="27">
        <f>VLOOKUP(D9,'Org Setup'!A:D,4,0)</f>
        <v>5.0999999999999996</v>
      </c>
      <c r="G9" s="7"/>
      <c r="H9" s="7"/>
    </row>
    <row r="10" spans="1:8" hidden="1" x14ac:dyDescent="0.3">
      <c r="A10" s="6">
        <v>686533405</v>
      </c>
      <c r="B10" s="6">
        <f t="shared" si="0"/>
        <v>1</v>
      </c>
      <c r="C10" s="7" t="s">
        <v>163</v>
      </c>
      <c r="D10" s="3" t="s">
        <v>210</v>
      </c>
      <c r="E10" s="3" t="str">
        <f>VLOOKUP(D10,'Org Setup'!A:B,2,0)</f>
        <v>GS (1)</v>
      </c>
      <c r="F10" s="27">
        <f>VLOOKUP(D10,'Org Setup'!A:D,4,0)</f>
        <v>5.0999999999999996</v>
      </c>
      <c r="G10" s="7"/>
      <c r="H10" s="7"/>
    </row>
    <row r="11" spans="1:8" hidden="1" x14ac:dyDescent="0.3">
      <c r="A11" s="6">
        <v>685996407</v>
      </c>
      <c r="B11" s="6">
        <f t="shared" si="0"/>
        <v>1</v>
      </c>
      <c r="C11" s="7" t="s">
        <v>163</v>
      </c>
      <c r="D11" s="3" t="s">
        <v>210</v>
      </c>
      <c r="E11" s="3" t="str">
        <f>VLOOKUP(D11,'Org Setup'!A:B,2,0)</f>
        <v>GS (1)</v>
      </c>
      <c r="F11" s="27">
        <f>VLOOKUP(D11,'Org Setup'!A:D,4,0)</f>
        <v>5.0999999999999996</v>
      </c>
      <c r="G11" s="7"/>
      <c r="H11" s="7"/>
    </row>
    <row r="12" spans="1:8" hidden="1" x14ac:dyDescent="0.3">
      <c r="A12" s="6">
        <v>681787007</v>
      </c>
      <c r="B12" s="6">
        <f t="shared" si="0"/>
        <v>1</v>
      </c>
      <c r="C12" s="7" t="s">
        <v>163</v>
      </c>
      <c r="D12" s="3" t="s">
        <v>210</v>
      </c>
      <c r="E12" s="3" t="str">
        <f>VLOOKUP(D12,'Org Setup'!A:B,2,0)</f>
        <v>GS (1)</v>
      </c>
      <c r="F12" s="27">
        <f>VLOOKUP(D12,'Org Setup'!A:D,4,0)</f>
        <v>5.0999999999999996</v>
      </c>
    </row>
    <row r="13" spans="1:8" hidden="1" x14ac:dyDescent="0.3">
      <c r="A13" s="6">
        <v>681610607</v>
      </c>
      <c r="B13" s="6">
        <f t="shared" si="0"/>
        <v>1</v>
      </c>
      <c r="C13" s="7" t="s">
        <v>163</v>
      </c>
      <c r="D13" s="3" t="s">
        <v>210</v>
      </c>
      <c r="E13" s="3" t="str">
        <f>VLOOKUP(D13,'Org Setup'!A:B,2,0)</f>
        <v>GS (1)</v>
      </c>
      <c r="F13" s="27">
        <f>VLOOKUP(D13,'Org Setup'!A:D,4,0)</f>
        <v>5.0999999999999996</v>
      </c>
    </row>
    <row r="14" spans="1:8" hidden="1" x14ac:dyDescent="0.3">
      <c r="A14" s="6">
        <v>680562707</v>
      </c>
      <c r="B14" s="6">
        <f t="shared" si="0"/>
        <v>1</v>
      </c>
      <c r="C14" s="7" t="s">
        <v>163</v>
      </c>
      <c r="D14" s="3" t="s">
        <v>210</v>
      </c>
      <c r="E14" s="3" t="str">
        <f>VLOOKUP(D14,'Org Setup'!A:B,2,0)</f>
        <v>GS (1)</v>
      </c>
      <c r="F14" s="27">
        <f>VLOOKUP(D14,'Org Setup'!A:D,4,0)</f>
        <v>5.0999999999999996</v>
      </c>
    </row>
    <row r="15" spans="1:8" hidden="1" x14ac:dyDescent="0.3">
      <c r="A15" s="6">
        <v>678510307</v>
      </c>
      <c r="B15" s="6">
        <f t="shared" si="0"/>
        <v>1</v>
      </c>
      <c r="C15" s="7" t="s">
        <v>163</v>
      </c>
      <c r="D15" s="3" t="s">
        <v>210</v>
      </c>
      <c r="E15" s="3" t="str">
        <f>VLOOKUP(D15,'Org Setup'!A:B,2,0)</f>
        <v>GS (1)</v>
      </c>
      <c r="F15" s="27">
        <f>VLOOKUP(D15,'Org Setup'!A:D,4,0)</f>
        <v>5.0999999999999996</v>
      </c>
    </row>
    <row r="16" spans="1:8" hidden="1" x14ac:dyDescent="0.3">
      <c r="A16" s="6">
        <v>676962007</v>
      </c>
      <c r="B16" s="6">
        <f t="shared" si="0"/>
        <v>1</v>
      </c>
      <c r="C16" s="7" t="s">
        <v>163</v>
      </c>
      <c r="D16" s="3" t="s">
        <v>210</v>
      </c>
      <c r="E16" s="3" t="str">
        <f>VLOOKUP(D16,'Org Setup'!A:B,2,0)</f>
        <v>GS (1)</v>
      </c>
      <c r="F16" s="27">
        <f>VLOOKUP(D16,'Org Setup'!A:D,4,0)</f>
        <v>5.0999999999999996</v>
      </c>
    </row>
    <row r="17" spans="1:8" hidden="1" x14ac:dyDescent="0.3">
      <c r="A17" s="6">
        <v>676481608</v>
      </c>
      <c r="B17" s="6">
        <f t="shared" si="0"/>
        <v>1</v>
      </c>
      <c r="C17" s="7" t="s">
        <v>163</v>
      </c>
      <c r="D17" s="3" t="s">
        <v>210</v>
      </c>
      <c r="E17" s="3" t="str">
        <f>VLOOKUP(D17,'Org Setup'!A:B,2,0)</f>
        <v>GS (1)</v>
      </c>
      <c r="F17" s="27">
        <f>VLOOKUP(D17,'Org Setup'!A:D,4,0)</f>
        <v>5.0999999999999996</v>
      </c>
    </row>
    <row r="18" spans="1:8" hidden="1" x14ac:dyDescent="0.3">
      <c r="A18" s="6">
        <v>676443600</v>
      </c>
      <c r="B18" s="6">
        <f t="shared" si="0"/>
        <v>1</v>
      </c>
      <c r="C18" s="7" t="s">
        <v>163</v>
      </c>
      <c r="D18" s="3" t="s">
        <v>210</v>
      </c>
      <c r="E18" s="3" t="str">
        <f>VLOOKUP(D18,'Org Setup'!A:B,2,0)</f>
        <v>GS (1)</v>
      </c>
      <c r="F18" s="27">
        <f>VLOOKUP(D18,'Org Setup'!A:D,4,0)</f>
        <v>5.0999999999999996</v>
      </c>
      <c r="G18" s="7"/>
      <c r="H18" s="7"/>
    </row>
    <row r="19" spans="1:8" hidden="1" x14ac:dyDescent="0.3">
      <c r="A19" s="6">
        <v>676295802</v>
      </c>
      <c r="B19" s="6">
        <f t="shared" si="0"/>
        <v>1</v>
      </c>
      <c r="C19" s="7" t="s">
        <v>163</v>
      </c>
      <c r="D19" s="3" t="s">
        <v>210</v>
      </c>
      <c r="E19" s="3" t="str">
        <f>VLOOKUP(D19,'Org Setup'!A:B,2,0)</f>
        <v>GS (1)</v>
      </c>
      <c r="F19" s="27">
        <f>VLOOKUP(D19,'Org Setup'!A:D,4,0)</f>
        <v>5.0999999999999996</v>
      </c>
    </row>
    <row r="20" spans="1:8" hidden="1" x14ac:dyDescent="0.3">
      <c r="A20" s="6">
        <v>676258605</v>
      </c>
      <c r="B20" s="6">
        <f t="shared" si="0"/>
        <v>1</v>
      </c>
      <c r="C20" s="7" t="s">
        <v>163</v>
      </c>
      <c r="D20" s="3" t="s">
        <v>210</v>
      </c>
      <c r="E20" s="3" t="str">
        <f>VLOOKUP(D20,'Org Setup'!A:B,2,0)</f>
        <v>GS (1)</v>
      </c>
      <c r="F20" s="27">
        <f>VLOOKUP(D20,'Org Setup'!A:D,4,0)</f>
        <v>5.0999999999999996</v>
      </c>
      <c r="G20" s="7"/>
      <c r="H20" s="7"/>
    </row>
    <row r="21" spans="1:8" hidden="1" x14ac:dyDescent="0.3">
      <c r="A21" s="6">
        <v>675720606</v>
      </c>
      <c r="B21" s="6">
        <f t="shared" si="0"/>
        <v>1</v>
      </c>
      <c r="C21" s="7" t="s">
        <v>163</v>
      </c>
      <c r="D21" s="3" t="s">
        <v>210</v>
      </c>
      <c r="E21" s="3" t="str">
        <f>VLOOKUP(D21,'Org Setup'!A:B,2,0)</f>
        <v>GS (1)</v>
      </c>
      <c r="F21" s="27">
        <f>VLOOKUP(D21,'Org Setup'!A:D,4,0)</f>
        <v>5.0999999999999996</v>
      </c>
    </row>
    <row r="22" spans="1:8" hidden="1" x14ac:dyDescent="0.3">
      <c r="A22" s="6">
        <v>675612210</v>
      </c>
      <c r="B22" s="6">
        <f t="shared" si="0"/>
        <v>1</v>
      </c>
      <c r="C22" s="7" t="s">
        <v>163</v>
      </c>
      <c r="D22" s="3" t="s">
        <v>210</v>
      </c>
      <c r="E22" s="3" t="str">
        <f>VLOOKUP(D22,'Org Setup'!A:B,2,0)</f>
        <v>GS (1)</v>
      </c>
      <c r="F22" s="27">
        <f>VLOOKUP(D22,'Org Setup'!A:D,4,0)</f>
        <v>5.0999999999999996</v>
      </c>
      <c r="G22" s="7"/>
      <c r="H22" s="7"/>
    </row>
    <row r="23" spans="1:8" hidden="1" x14ac:dyDescent="0.3">
      <c r="A23" s="6">
        <v>675490604</v>
      </c>
      <c r="B23" s="6">
        <f t="shared" si="0"/>
        <v>1</v>
      </c>
      <c r="C23" s="7" t="s">
        <v>163</v>
      </c>
      <c r="D23" s="3" t="s">
        <v>210</v>
      </c>
      <c r="E23" s="3" t="str">
        <f>VLOOKUP(D23,'Org Setup'!A:B,2,0)</f>
        <v>GS (1)</v>
      </c>
      <c r="F23" s="27">
        <f>VLOOKUP(D23,'Org Setup'!A:D,4,0)</f>
        <v>5.0999999999999996</v>
      </c>
      <c r="G23" s="7"/>
      <c r="H23" s="7"/>
    </row>
    <row r="24" spans="1:8" hidden="1" x14ac:dyDescent="0.3">
      <c r="A24" s="6">
        <v>675474303</v>
      </c>
      <c r="B24" s="6">
        <f t="shared" si="0"/>
        <v>1</v>
      </c>
      <c r="C24" s="7" t="s">
        <v>163</v>
      </c>
      <c r="D24" s="3" t="s">
        <v>210</v>
      </c>
      <c r="E24" s="3" t="str">
        <f>VLOOKUP(D24,'Org Setup'!A:B,2,0)</f>
        <v>GS (1)</v>
      </c>
      <c r="F24" s="27">
        <f>VLOOKUP(D24,'Org Setup'!A:D,4,0)</f>
        <v>5.0999999999999996</v>
      </c>
    </row>
    <row r="25" spans="1:8" hidden="1" x14ac:dyDescent="0.3">
      <c r="A25" s="6">
        <v>64745400</v>
      </c>
      <c r="B25" s="6">
        <f t="shared" si="0"/>
        <v>1</v>
      </c>
      <c r="C25" s="7" t="s">
        <v>163</v>
      </c>
      <c r="D25" s="3" t="s">
        <v>210</v>
      </c>
      <c r="E25" s="3" t="str">
        <f>VLOOKUP(D25,'Org Setup'!A:B,2,0)</f>
        <v>GS (1)</v>
      </c>
      <c r="F25" s="27">
        <f>VLOOKUP(D25,'Org Setup'!A:D,4,0)</f>
        <v>5.0999999999999996</v>
      </c>
      <c r="G25" s="7"/>
      <c r="H25" s="7"/>
    </row>
    <row r="26" spans="1:8" hidden="1" x14ac:dyDescent="0.3">
      <c r="A26" s="6">
        <v>615560203</v>
      </c>
      <c r="B26" s="6">
        <f t="shared" si="0"/>
        <v>1</v>
      </c>
      <c r="C26" s="7" t="s">
        <v>163</v>
      </c>
      <c r="D26" s="3" t="s">
        <v>210</v>
      </c>
      <c r="E26" s="3" t="str">
        <f>VLOOKUP(D26,'Org Setup'!A:B,2,0)</f>
        <v>GS (1)</v>
      </c>
      <c r="F26" s="27">
        <f>VLOOKUP(D26,'Org Setup'!A:D,4,0)</f>
        <v>5.0999999999999996</v>
      </c>
    </row>
    <row r="27" spans="1:8" hidden="1" x14ac:dyDescent="0.3">
      <c r="A27" s="6">
        <v>602990510</v>
      </c>
      <c r="B27" s="6">
        <f t="shared" si="0"/>
        <v>1</v>
      </c>
      <c r="C27" s="7" t="s">
        <v>163</v>
      </c>
      <c r="D27" s="3" t="s">
        <v>210</v>
      </c>
      <c r="E27" s="3" t="str">
        <f>VLOOKUP(D27,'Org Setup'!A:B,2,0)</f>
        <v>GS (1)</v>
      </c>
      <c r="F27" s="27">
        <f>VLOOKUP(D27,'Org Setup'!A:D,4,0)</f>
        <v>5.0999999999999996</v>
      </c>
      <c r="G27" s="7"/>
      <c r="H27" s="7"/>
    </row>
    <row r="28" spans="1:8" hidden="1" x14ac:dyDescent="0.3">
      <c r="A28" s="6">
        <v>597142506</v>
      </c>
      <c r="B28" s="6">
        <f t="shared" si="0"/>
        <v>1</v>
      </c>
      <c r="C28" s="7" t="s">
        <v>163</v>
      </c>
      <c r="D28" s="3" t="s">
        <v>210</v>
      </c>
      <c r="E28" s="3" t="str">
        <f>VLOOKUP(D28,'Org Setup'!A:B,2,0)</f>
        <v>GS (1)</v>
      </c>
      <c r="F28" s="27">
        <f>VLOOKUP(D28,'Org Setup'!A:D,4,0)</f>
        <v>5.0999999999999996</v>
      </c>
    </row>
    <row r="29" spans="1:8" hidden="1" x14ac:dyDescent="0.3">
      <c r="A29" s="6">
        <v>544564408</v>
      </c>
      <c r="B29" s="6">
        <f t="shared" si="0"/>
        <v>1</v>
      </c>
      <c r="C29" s="7" t="s">
        <v>163</v>
      </c>
      <c r="D29" s="3" t="s">
        <v>210</v>
      </c>
      <c r="E29" s="3" t="str">
        <f>VLOOKUP(D29,'Org Setup'!A:B,2,0)</f>
        <v>GS (1)</v>
      </c>
      <c r="F29" s="27">
        <f>VLOOKUP(D29,'Org Setup'!A:D,4,0)</f>
        <v>5.0999999999999996</v>
      </c>
      <c r="G29" s="7"/>
      <c r="H29" s="7"/>
    </row>
    <row r="30" spans="1:8" hidden="1" x14ac:dyDescent="0.3">
      <c r="A30" s="6">
        <v>544375102</v>
      </c>
      <c r="B30" s="6">
        <f t="shared" si="0"/>
        <v>1</v>
      </c>
      <c r="C30" s="7" t="s">
        <v>163</v>
      </c>
      <c r="D30" s="3" t="s">
        <v>210</v>
      </c>
      <c r="E30" s="3" t="str">
        <f>VLOOKUP(D30,'Org Setup'!A:B,2,0)</f>
        <v>GS (1)</v>
      </c>
      <c r="F30" s="27">
        <f>VLOOKUP(D30,'Org Setup'!A:D,4,0)</f>
        <v>5.0999999999999996</v>
      </c>
      <c r="G30" s="7"/>
      <c r="H30" s="7"/>
    </row>
    <row r="31" spans="1:8" hidden="1" x14ac:dyDescent="0.3">
      <c r="A31" s="6">
        <v>540520805</v>
      </c>
      <c r="B31" s="6">
        <f t="shared" si="0"/>
        <v>1</v>
      </c>
      <c r="C31" s="7" t="s">
        <v>163</v>
      </c>
      <c r="D31" s="3" t="s">
        <v>210</v>
      </c>
      <c r="E31" s="3" t="str">
        <f>VLOOKUP(D31,'Org Setup'!A:B,2,0)</f>
        <v>GS (1)</v>
      </c>
      <c r="F31" s="27">
        <f>VLOOKUP(D31,'Org Setup'!A:D,4,0)</f>
        <v>5.0999999999999996</v>
      </c>
    </row>
    <row r="32" spans="1:8" hidden="1" x14ac:dyDescent="0.3">
      <c r="A32" s="6">
        <v>512677101</v>
      </c>
      <c r="B32" s="6">
        <f t="shared" si="0"/>
        <v>1</v>
      </c>
      <c r="C32" s="7" t="s">
        <v>163</v>
      </c>
      <c r="D32" s="3" t="s">
        <v>210</v>
      </c>
      <c r="E32" s="3" t="str">
        <f>VLOOKUP(D32,'Org Setup'!A:B,2,0)</f>
        <v>GS (1)</v>
      </c>
      <c r="F32" s="27">
        <f>VLOOKUP(D32,'Org Setup'!A:D,4,0)</f>
        <v>5.0999999999999996</v>
      </c>
      <c r="G32" s="7"/>
      <c r="H32" s="7"/>
    </row>
    <row r="33" spans="1:8" hidden="1" x14ac:dyDescent="0.3">
      <c r="A33" s="6">
        <v>511379110</v>
      </c>
      <c r="B33" s="6">
        <f t="shared" si="0"/>
        <v>1</v>
      </c>
      <c r="C33" s="7" t="s">
        <v>163</v>
      </c>
      <c r="D33" s="3" t="s">
        <v>210</v>
      </c>
      <c r="E33" s="3" t="str">
        <f>VLOOKUP(D33,'Org Setup'!A:B,2,0)</f>
        <v>GS (1)</v>
      </c>
      <c r="F33" s="27">
        <f>VLOOKUP(D33,'Org Setup'!A:D,4,0)</f>
        <v>5.0999999999999996</v>
      </c>
    </row>
    <row r="34" spans="1:8" hidden="1" x14ac:dyDescent="0.3">
      <c r="A34" s="6">
        <v>511366606</v>
      </c>
      <c r="B34" s="6">
        <f t="shared" si="0"/>
        <v>1</v>
      </c>
      <c r="C34" s="7" t="s">
        <v>163</v>
      </c>
      <c r="D34" s="3" t="s">
        <v>210</v>
      </c>
      <c r="E34" s="3" t="str">
        <f>VLOOKUP(D34,'Org Setup'!A:B,2,0)</f>
        <v>GS (1)</v>
      </c>
      <c r="F34" s="27">
        <f>VLOOKUP(D34,'Org Setup'!A:D,4,0)</f>
        <v>5.0999999999999996</v>
      </c>
      <c r="G34" s="7"/>
      <c r="H34" s="7"/>
    </row>
    <row r="35" spans="1:8" hidden="1" x14ac:dyDescent="0.3">
      <c r="A35" s="6">
        <v>4216534009</v>
      </c>
      <c r="B35" s="6">
        <f t="shared" si="0"/>
        <v>1</v>
      </c>
      <c r="C35" s="7" t="s">
        <v>163</v>
      </c>
      <c r="D35" s="3" t="s">
        <v>210</v>
      </c>
      <c r="E35" s="3" t="str">
        <f>VLOOKUP(D35,'Org Setup'!A:B,2,0)</f>
        <v>GS (1)</v>
      </c>
      <c r="F35" s="27">
        <f>VLOOKUP(D35,'Org Setup'!A:D,4,0)</f>
        <v>5.0999999999999996</v>
      </c>
    </row>
    <row r="36" spans="1:8" hidden="1" x14ac:dyDescent="0.3">
      <c r="A36" s="6">
        <v>4215600406</v>
      </c>
      <c r="B36" s="6">
        <f t="shared" si="0"/>
        <v>1</v>
      </c>
      <c r="C36" s="7" t="s">
        <v>163</v>
      </c>
      <c r="D36" s="3" t="s">
        <v>210</v>
      </c>
      <c r="E36" s="3" t="str">
        <f>VLOOKUP(D36,'Org Setup'!A:B,2,0)</f>
        <v>GS (1)</v>
      </c>
      <c r="F36" s="27">
        <f>VLOOKUP(D36,'Org Setup'!A:D,4,0)</f>
        <v>5.0999999999999996</v>
      </c>
    </row>
    <row r="37" spans="1:8" hidden="1" x14ac:dyDescent="0.3">
      <c r="A37" s="6">
        <v>4215273709</v>
      </c>
      <c r="B37" s="6">
        <f t="shared" si="0"/>
        <v>1</v>
      </c>
      <c r="C37" s="7" t="s">
        <v>163</v>
      </c>
      <c r="D37" s="3" t="s">
        <v>210</v>
      </c>
      <c r="E37" s="3" t="str">
        <f>VLOOKUP(D37,'Org Setup'!A:B,2,0)</f>
        <v>GS (1)</v>
      </c>
      <c r="F37" s="27">
        <f>VLOOKUP(D37,'Org Setup'!A:D,4,0)</f>
        <v>5.0999999999999996</v>
      </c>
    </row>
    <row r="38" spans="1:8" hidden="1" x14ac:dyDescent="0.3">
      <c r="A38" s="6">
        <v>4213537101</v>
      </c>
      <c r="B38" s="6">
        <f t="shared" si="0"/>
        <v>1</v>
      </c>
      <c r="C38" s="7" t="s">
        <v>163</v>
      </c>
      <c r="D38" s="3" t="s">
        <v>210</v>
      </c>
      <c r="E38" s="3" t="str">
        <f>VLOOKUP(D38,'Org Setup'!A:B,2,0)</f>
        <v>GS (1)</v>
      </c>
      <c r="F38" s="27">
        <f>VLOOKUP(D38,'Org Setup'!A:D,4,0)</f>
        <v>5.0999999999999996</v>
      </c>
    </row>
    <row r="39" spans="1:8" hidden="1" x14ac:dyDescent="0.3">
      <c r="A39" s="6">
        <v>4212302607</v>
      </c>
      <c r="B39" s="6">
        <f t="shared" si="0"/>
        <v>1</v>
      </c>
      <c r="C39" s="7" t="s">
        <v>163</v>
      </c>
      <c r="D39" s="3" t="s">
        <v>210</v>
      </c>
      <c r="E39" s="3" t="str">
        <f>VLOOKUP(D39,'Org Setup'!A:B,2,0)</f>
        <v>GS (1)</v>
      </c>
      <c r="F39" s="27">
        <f>VLOOKUP(D39,'Org Setup'!A:D,4,0)</f>
        <v>5.0999999999999996</v>
      </c>
      <c r="G39" s="9" t="s">
        <v>376</v>
      </c>
    </row>
    <row r="40" spans="1:8" hidden="1" x14ac:dyDescent="0.3">
      <c r="A40" s="6">
        <v>4208689402</v>
      </c>
      <c r="B40" s="6">
        <f t="shared" si="0"/>
        <v>1</v>
      </c>
      <c r="C40" s="7" t="s">
        <v>163</v>
      </c>
      <c r="D40" s="3" t="s">
        <v>210</v>
      </c>
      <c r="E40" s="3" t="str">
        <f>VLOOKUP(D40,'Org Setup'!A:B,2,0)</f>
        <v>GS (1)</v>
      </c>
      <c r="F40" s="27">
        <f>VLOOKUP(D40,'Org Setup'!A:D,4,0)</f>
        <v>5.0999999999999996</v>
      </c>
    </row>
    <row r="41" spans="1:8" hidden="1" x14ac:dyDescent="0.3">
      <c r="A41" s="6">
        <v>4206397109</v>
      </c>
      <c r="B41" s="6">
        <f t="shared" si="0"/>
        <v>1</v>
      </c>
      <c r="C41" s="7" t="s">
        <v>163</v>
      </c>
      <c r="D41" s="3" t="s">
        <v>210</v>
      </c>
      <c r="E41" s="3" t="str">
        <f>VLOOKUP(D41,'Org Setup'!A:B,2,0)</f>
        <v>GS (1)</v>
      </c>
      <c r="F41" s="27">
        <f>VLOOKUP(D41,'Org Setup'!A:D,4,0)</f>
        <v>5.0999999999999996</v>
      </c>
    </row>
    <row r="42" spans="1:8" hidden="1" x14ac:dyDescent="0.3">
      <c r="A42" s="6">
        <v>4204640800</v>
      </c>
      <c r="B42" s="6">
        <f t="shared" si="0"/>
        <v>1</v>
      </c>
      <c r="C42" s="7" t="s">
        <v>163</v>
      </c>
      <c r="D42" s="3" t="s">
        <v>210</v>
      </c>
      <c r="E42" s="3" t="str">
        <f>VLOOKUP(D42,'Org Setup'!A:B,2,0)</f>
        <v>GS (1)</v>
      </c>
      <c r="F42" s="27">
        <f>VLOOKUP(D42,'Org Setup'!A:D,4,0)</f>
        <v>5.0999999999999996</v>
      </c>
    </row>
    <row r="43" spans="1:8" x14ac:dyDescent="0.3">
      <c r="A43" s="6">
        <v>4009769907</v>
      </c>
      <c r="B43" s="6">
        <f t="shared" si="0"/>
        <v>1</v>
      </c>
      <c r="C43" s="7" t="s">
        <v>240</v>
      </c>
      <c r="D43" s="3" t="s">
        <v>294</v>
      </c>
      <c r="E43" s="3" t="str">
        <f>VLOOKUP(D43,'Org Setup'!A:B,2,0)</f>
        <v>GS (1)</v>
      </c>
      <c r="F43" s="27">
        <f>VLOOKUP(D43,'Org Setup'!A:D,4,0)</f>
        <v>5.0999999999999996</v>
      </c>
      <c r="G43" t="s">
        <v>448</v>
      </c>
      <c r="H43" s="51" t="s">
        <v>340</v>
      </c>
    </row>
    <row r="44" spans="1:8" hidden="1" x14ac:dyDescent="0.3">
      <c r="A44" s="6">
        <v>3989042705</v>
      </c>
      <c r="B44" s="6">
        <f t="shared" si="0"/>
        <v>1</v>
      </c>
      <c r="C44" s="7" t="s">
        <v>163</v>
      </c>
      <c r="D44" s="3" t="s">
        <v>210</v>
      </c>
      <c r="E44" s="3" t="str">
        <f>VLOOKUP(D44,'Org Setup'!A:B,2,0)</f>
        <v>GS (1)</v>
      </c>
      <c r="F44" s="27">
        <f>VLOOKUP(D44,'Org Setup'!A:D,4,0)</f>
        <v>5.0999999999999996</v>
      </c>
    </row>
    <row r="45" spans="1:8" hidden="1" x14ac:dyDescent="0.3">
      <c r="A45" s="6">
        <v>3981364507</v>
      </c>
      <c r="B45" s="6">
        <f t="shared" si="0"/>
        <v>1</v>
      </c>
      <c r="C45" s="7" t="s">
        <v>163</v>
      </c>
      <c r="D45" s="3" t="s">
        <v>210</v>
      </c>
      <c r="E45" s="3" t="str">
        <f>VLOOKUP(D45,'Org Setup'!A:B,2,0)</f>
        <v>GS (1)</v>
      </c>
      <c r="F45" s="27">
        <f>VLOOKUP(D45,'Org Setup'!A:D,4,0)</f>
        <v>5.0999999999999996</v>
      </c>
    </row>
    <row r="46" spans="1:8" hidden="1" x14ac:dyDescent="0.3">
      <c r="A46" s="6">
        <v>3978844708</v>
      </c>
      <c r="B46" s="6">
        <f t="shared" si="0"/>
        <v>1</v>
      </c>
      <c r="C46" s="7" t="s">
        <v>163</v>
      </c>
      <c r="D46" s="3" t="s">
        <v>210</v>
      </c>
      <c r="E46" s="3" t="str">
        <f>VLOOKUP(D46,'Org Setup'!A:B,2,0)</f>
        <v>GS (1)</v>
      </c>
      <c r="F46" s="27">
        <f>VLOOKUP(D46,'Org Setup'!A:D,4,0)</f>
        <v>5.0999999999999996</v>
      </c>
    </row>
    <row r="47" spans="1:8" hidden="1" x14ac:dyDescent="0.3">
      <c r="A47" s="6">
        <v>3977795402</v>
      </c>
      <c r="B47" s="6">
        <f t="shared" si="0"/>
        <v>1</v>
      </c>
      <c r="C47" s="7" t="s">
        <v>163</v>
      </c>
      <c r="D47" s="3" t="s">
        <v>210</v>
      </c>
      <c r="E47" s="3" t="str">
        <f>VLOOKUP(D47,'Org Setup'!A:B,2,0)</f>
        <v>GS (1)</v>
      </c>
      <c r="F47" s="27">
        <f>VLOOKUP(D47,'Org Setup'!A:D,4,0)</f>
        <v>5.0999999999999996</v>
      </c>
    </row>
    <row r="48" spans="1:8" hidden="1" x14ac:dyDescent="0.3">
      <c r="A48" s="6">
        <v>3977204408</v>
      </c>
      <c r="B48" s="6">
        <f t="shared" si="0"/>
        <v>1</v>
      </c>
      <c r="C48" s="7" t="s">
        <v>163</v>
      </c>
      <c r="D48" s="3" t="s">
        <v>210</v>
      </c>
      <c r="E48" s="3" t="str">
        <f>VLOOKUP(D48,'Org Setup'!A:B,2,0)</f>
        <v>GS (1)</v>
      </c>
      <c r="F48" s="27">
        <f>VLOOKUP(D48,'Org Setup'!A:D,4,0)</f>
        <v>5.0999999999999996</v>
      </c>
    </row>
    <row r="49" spans="1:8" hidden="1" x14ac:dyDescent="0.3">
      <c r="A49" s="6">
        <v>3245409606</v>
      </c>
      <c r="B49" s="6">
        <f t="shared" si="0"/>
        <v>1</v>
      </c>
      <c r="C49" s="7" t="s">
        <v>163</v>
      </c>
      <c r="D49" s="3" t="s">
        <v>210</v>
      </c>
      <c r="E49" s="3" t="str">
        <f>VLOOKUP(D49,'Org Setup'!A:B,2,0)</f>
        <v>GS (1)</v>
      </c>
      <c r="F49" s="27">
        <f>VLOOKUP(D49,'Org Setup'!A:D,4,0)</f>
        <v>5.0999999999999996</v>
      </c>
    </row>
    <row r="50" spans="1:8" hidden="1" x14ac:dyDescent="0.3">
      <c r="A50" s="6">
        <v>3245128306</v>
      </c>
      <c r="B50" s="6">
        <f t="shared" si="0"/>
        <v>1</v>
      </c>
      <c r="C50" s="7" t="s">
        <v>163</v>
      </c>
      <c r="D50" s="3" t="s">
        <v>210</v>
      </c>
      <c r="E50" s="3" t="str">
        <f>VLOOKUP(D50,'Org Setup'!A:B,2,0)</f>
        <v>GS (1)</v>
      </c>
      <c r="F50" s="27">
        <f>VLOOKUP(D50,'Org Setup'!A:D,4,0)</f>
        <v>5.0999999999999996</v>
      </c>
    </row>
    <row r="51" spans="1:8" hidden="1" x14ac:dyDescent="0.3">
      <c r="A51" s="6">
        <v>3244340400</v>
      </c>
      <c r="B51" s="6">
        <f t="shared" si="0"/>
        <v>1</v>
      </c>
      <c r="C51" s="7" t="s">
        <v>163</v>
      </c>
      <c r="D51" s="3" t="s">
        <v>210</v>
      </c>
      <c r="E51" s="3" t="str">
        <f>VLOOKUP(D51,'Org Setup'!A:B,2,0)</f>
        <v>GS (1)</v>
      </c>
      <c r="F51" s="27">
        <f>VLOOKUP(D51,'Org Setup'!A:D,4,0)</f>
        <v>5.0999999999999996</v>
      </c>
    </row>
    <row r="52" spans="1:8" hidden="1" x14ac:dyDescent="0.3">
      <c r="A52" s="6">
        <v>3240002808</v>
      </c>
      <c r="B52" s="6">
        <f t="shared" si="0"/>
        <v>1</v>
      </c>
      <c r="C52" s="7" t="s">
        <v>163</v>
      </c>
      <c r="D52" s="3" t="s">
        <v>210</v>
      </c>
      <c r="E52" s="3" t="str">
        <f>VLOOKUP(D52,'Org Setup'!A:B,2,0)</f>
        <v>GS (1)</v>
      </c>
      <c r="F52" s="27">
        <f>VLOOKUP(D52,'Org Setup'!A:D,4,0)</f>
        <v>5.0999999999999996</v>
      </c>
    </row>
    <row r="53" spans="1:8" hidden="1" x14ac:dyDescent="0.3">
      <c r="A53" s="6">
        <v>3235582805</v>
      </c>
      <c r="B53" s="6">
        <f t="shared" si="0"/>
        <v>1</v>
      </c>
      <c r="C53" s="7" t="s">
        <v>163</v>
      </c>
      <c r="D53" s="3" t="s">
        <v>210</v>
      </c>
      <c r="E53" s="3" t="str">
        <f>VLOOKUP(D53,'Org Setup'!A:B,2,0)</f>
        <v>GS (1)</v>
      </c>
      <c r="F53" s="27">
        <f>VLOOKUP(D53,'Org Setup'!A:D,4,0)</f>
        <v>5.0999999999999996</v>
      </c>
    </row>
    <row r="54" spans="1:8" hidden="1" x14ac:dyDescent="0.3">
      <c r="A54" s="6">
        <v>3230407200</v>
      </c>
      <c r="B54" s="6">
        <f t="shared" si="0"/>
        <v>1</v>
      </c>
      <c r="C54" s="7" t="s">
        <v>163</v>
      </c>
      <c r="D54" s="3" t="s">
        <v>210</v>
      </c>
      <c r="E54" s="3" t="str">
        <f>VLOOKUP(D54,'Org Setup'!A:B,2,0)</f>
        <v>GS (1)</v>
      </c>
      <c r="F54" s="27">
        <f>VLOOKUP(D54,'Org Setup'!A:D,4,0)</f>
        <v>5.0999999999999996</v>
      </c>
    </row>
    <row r="55" spans="1:8" hidden="1" x14ac:dyDescent="0.3">
      <c r="A55" s="6">
        <v>3230373007</v>
      </c>
      <c r="B55" s="6">
        <f t="shared" si="0"/>
        <v>1</v>
      </c>
      <c r="C55" s="7" t="s">
        <v>163</v>
      </c>
      <c r="D55" s="3" t="s">
        <v>210</v>
      </c>
      <c r="E55" s="3" t="str">
        <f>VLOOKUP(D55,'Org Setup'!A:B,2,0)</f>
        <v>GS (1)</v>
      </c>
      <c r="F55" s="27">
        <f>VLOOKUP(D55,'Org Setup'!A:D,4,0)</f>
        <v>5.0999999999999996</v>
      </c>
    </row>
    <row r="56" spans="1:8" x14ac:dyDescent="0.3">
      <c r="A56" s="6">
        <v>2772178801</v>
      </c>
      <c r="B56" s="6">
        <f t="shared" si="0"/>
        <v>1</v>
      </c>
      <c r="C56" s="7" t="s">
        <v>240</v>
      </c>
      <c r="D56" s="3" t="s">
        <v>294</v>
      </c>
      <c r="E56" s="3" t="str">
        <f>VLOOKUP(D56,'Org Setup'!A:B,2,0)</f>
        <v>GS (1)</v>
      </c>
      <c r="F56" s="27">
        <f>VLOOKUP(D56,'Org Setup'!A:D,4,0)</f>
        <v>5.0999999999999996</v>
      </c>
    </row>
    <row r="57" spans="1:8" x14ac:dyDescent="0.3">
      <c r="A57" s="6">
        <v>2772175705</v>
      </c>
      <c r="B57" s="6">
        <f t="shared" si="0"/>
        <v>1</v>
      </c>
      <c r="C57" s="7" t="s">
        <v>240</v>
      </c>
      <c r="D57" s="3" t="s">
        <v>294</v>
      </c>
      <c r="E57" s="3" t="str">
        <f>VLOOKUP(D57,'Org Setup'!A:B,2,0)</f>
        <v>GS (1)</v>
      </c>
      <c r="F57" s="27">
        <f>VLOOKUP(D57,'Org Setup'!A:D,4,0)</f>
        <v>5.0999999999999996</v>
      </c>
      <c r="G57" t="s">
        <v>449</v>
      </c>
      <c r="H57" t="s">
        <v>343</v>
      </c>
    </row>
    <row r="58" spans="1:8" x14ac:dyDescent="0.3">
      <c r="A58" s="6">
        <v>2772174804</v>
      </c>
      <c r="B58" s="6">
        <f t="shared" si="0"/>
        <v>1</v>
      </c>
      <c r="C58" s="7" t="s">
        <v>240</v>
      </c>
      <c r="D58" s="3" t="s">
        <v>294</v>
      </c>
      <c r="E58" s="3" t="str">
        <f>VLOOKUP(D58,'Org Setup'!A:B,2,0)</f>
        <v>GS (1)</v>
      </c>
      <c r="F58" s="27">
        <f>VLOOKUP(D58,'Org Setup'!A:D,4,0)</f>
        <v>5.0999999999999996</v>
      </c>
      <c r="G58" t="s">
        <v>450</v>
      </c>
      <c r="H58" s="53" t="s">
        <v>346</v>
      </c>
    </row>
    <row r="59" spans="1:8" x14ac:dyDescent="0.3">
      <c r="A59" s="6">
        <v>2772174703</v>
      </c>
      <c r="B59" s="6">
        <f t="shared" si="0"/>
        <v>1</v>
      </c>
      <c r="C59" s="7" t="s">
        <v>240</v>
      </c>
      <c r="D59" s="3" t="s">
        <v>294</v>
      </c>
      <c r="E59" s="3" t="str">
        <f>VLOOKUP(D59,'Org Setup'!A:B,2,0)</f>
        <v>GS (1)</v>
      </c>
      <c r="F59" s="27">
        <f>VLOOKUP(D59,'Org Setup'!A:D,4,0)</f>
        <v>5.0999999999999996</v>
      </c>
      <c r="G59" t="s">
        <v>451</v>
      </c>
      <c r="H59" t="s">
        <v>363</v>
      </c>
    </row>
    <row r="60" spans="1:8" x14ac:dyDescent="0.3">
      <c r="A60" s="6">
        <v>2772174108</v>
      </c>
      <c r="B60" s="6">
        <f t="shared" si="0"/>
        <v>1</v>
      </c>
      <c r="C60" s="7" t="s">
        <v>240</v>
      </c>
      <c r="D60" s="3" t="s">
        <v>294</v>
      </c>
      <c r="E60" s="3" t="str">
        <f>VLOOKUP(D60,'Org Setup'!A:B,2,0)</f>
        <v>GS (1)</v>
      </c>
      <c r="F60" s="27">
        <f>VLOOKUP(D60,'Org Setup'!A:D,4,0)</f>
        <v>5.0999999999999996</v>
      </c>
      <c r="G60" t="s">
        <v>452</v>
      </c>
      <c r="H60" t="s">
        <v>350</v>
      </c>
    </row>
    <row r="61" spans="1:8" x14ac:dyDescent="0.3">
      <c r="A61" s="6">
        <v>2772172901</v>
      </c>
      <c r="B61" s="6">
        <f t="shared" si="0"/>
        <v>1</v>
      </c>
      <c r="C61" s="7" t="s">
        <v>240</v>
      </c>
      <c r="D61" s="3" t="s">
        <v>294</v>
      </c>
      <c r="E61" s="3" t="str">
        <f>VLOOKUP(D61,'Org Setup'!A:B,2,0)</f>
        <v>GS (1)</v>
      </c>
      <c r="F61" s="27">
        <f>VLOOKUP(D61,'Org Setup'!A:D,4,0)</f>
        <v>5.0999999999999996</v>
      </c>
      <c r="G61" t="s">
        <v>453</v>
      </c>
      <c r="H61" t="s">
        <v>360</v>
      </c>
    </row>
    <row r="62" spans="1:8" x14ac:dyDescent="0.3">
      <c r="A62" s="6">
        <v>2772172306</v>
      </c>
      <c r="B62" s="6">
        <f t="shared" si="0"/>
        <v>1</v>
      </c>
      <c r="C62" s="7" t="s">
        <v>240</v>
      </c>
      <c r="D62" s="3" t="s">
        <v>294</v>
      </c>
      <c r="E62" s="3" t="str">
        <f>VLOOKUP(D62,'Org Setup'!A:B,2,0)</f>
        <v>GS (1)</v>
      </c>
      <c r="F62" s="27">
        <f>VLOOKUP(D62,'Org Setup'!A:D,4,0)</f>
        <v>5.0999999999999996</v>
      </c>
    </row>
    <row r="63" spans="1:8" x14ac:dyDescent="0.3">
      <c r="A63" s="6">
        <v>2772171708</v>
      </c>
      <c r="B63" s="6">
        <f t="shared" si="0"/>
        <v>1</v>
      </c>
      <c r="C63" s="7" t="s">
        <v>240</v>
      </c>
      <c r="D63" s="3" t="s">
        <v>294</v>
      </c>
      <c r="E63" s="3" t="str">
        <f>VLOOKUP(D63,'Org Setup'!A:B,2,0)</f>
        <v>GS (1)</v>
      </c>
      <c r="F63" s="27">
        <f>VLOOKUP(D63,'Org Setup'!A:D,4,0)</f>
        <v>5.0999999999999996</v>
      </c>
    </row>
    <row r="64" spans="1:8" x14ac:dyDescent="0.3">
      <c r="A64" s="6">
        <v>2772171001</v>
      </c>
      <c r="B64" s="6">
        <f t="shared" si="0"/>
        <v>1</v>
      </c>
      <c r="C64" s="7" t="s">
        <v>240</v>
      </c>
      <c r="D64" s="3" t="s">
        <v>294</v>
      </c>
      <c r="E64" s="3" t="str">
        <f>VLOOKUP(D64,'Org Setup'!A:B,2,0)</f>
        <v>GS (1)</v>
      </c>
      <c r="F64" s="27">
        <f>VLOOKUP(D64,'Org Setup'!A:D,4,0)</f>
        <v>5.0999999999999996</v>
      </c>
    </row>
    <row r="65" spans="1:8" x14ac:dyDescent="0.3">
      <c r="A65" s="6">
        <v>2772170605</v>
      </c>
      <c r="B65" s="6">
        <f t="shared" si="0"/>
        <v>1</v>
      </c>
      <c r="C65" s="7" t="s">
        <v>240</v>
      </c>
      <c r="D65" s="3" t="s">
        <v>294</v>
      </c>
      <c r="E65" s="3" t="str">
        <f>VLOOKUP(D65,'Org Setup'!A:B,2,0)</f>
        <v>GS (1)</v>
      </c>
      <c r="F65" s="27">
        <f>VLOOKUP(D65,'Org Setup'!A:D,4,0)</f>
        <v>5.0999999999999996</v>
      </c>
    </row>
    <row r="66" spans="1:8" x14ac:dyDescent="0.3">
      <c r="A66" s="6">
        <v>2772168405</v>
      </c>
      <c r="B66" s="6">
        <f t="shared" si="0"/>
        <v>1</v>
      </c>
      <c r="C66" s="7" t="s">
        <v>240</v>
      </c>
      <c r="D66" s="3" t="s">
        <v>294</v>
      </c>
      <c r="E66" s="3" t="str">
        <f>VLOOKUP(D66,'Org Setup'!A:B,2,0)</f>
        <v>GS (1)</v>
      </c>
      <c r="F66" s="27">
        <f>VLOOKUP(D66,'Org Setup'!A:D,4,0)</f>
        <v>5.0999999999999996</v>
      </c>
    </row>
    <row r="67" spans="1:8" x14ac:dyDescent="0.3">
      <c r="A67" s="6">
        <v>2772168001</v>
      </c>
      <c r="B67" s="6">
        <f t="shared" ref="B67:B130" si="1">COUNTIF(A$2:A$211,A67)</f>
        <v>1</v>
      </c>
      <c r="C67" s="7" t="s">
        <v>240</v>
      </c>
      <c r="D67" s="3" t="s">
        <v>294</v>
      </c>
      <c r="E67" s="3" t="str">
        <f>VLOOKUP(D67,'Org Setup'!A:B,2,0)</f>
        <v>GS (1)</v>
      </c>
      <c r="F67" s="27">
        <f>VLOOKUP(D67,'Org Setup'!A:D,4,0)</f>
        <v>5.0999999999999996</v>
      </c>
    </row>
    <row r="68" spans="1:8" x14ac:dyDescent="0.3">
      <c r="A68" s="6">
        <v>2772167100</v>
      </c>
      <c r="B68" s="6">
        <f t="shared" si="1"/>
        <v>1</v>
      </c>
      <c r="C68" s="7" t="s">
        <v>240</v>
      </c>
      <c r="D68" s="3" t="s">
        <v>294</v>
      </c>
      <c r="E68" s="3" t="str">
        <f>VLOOKUP(D68,'Org Setup'!A:B,2,0)</f>
        <v>GS (1)</v>
      </c>
      <c r="F68" s="27">
        <f>VLOOKUP(D68,'Org Setup'!A:D,4,0)</f>
        <v>5.0999999999999996</v>
      </c>
    </row>
    <row r="69" spans="1:8" x14ac:dyDescent="0.3">
      <c r="A69" s="6">
        <v>2772166704</v>
      </c>
      <c r="B69" s="6">
        <f t="shared" si="1"/>
        <v>1</v>
      </c>
      <c r="C69" s="7" t="s">
        <v>240</v>
      </c>
      <c r="D69" s="3" t="s">
        <v>294</v>
      </c>
      <c r="E69" s="3" t="str">
        <f>VLOOKUP(D69,'Org Setup'!A:B,2,0)</f>
        <v>GS (1)</v>
      </c>
      <c r="F69" s="27">
        <f>VLOOKUP(D69,'Org Setup'!A:D,4,0)</f>
        <v>5.0999999999999996</v>
      </c>
    </row>
    <row r="70" spans="1:8" x14ac:dyDescent="0.3">
      <c r="A70" s="6">
        <v>2772166008</v>
      </c>
      <c r="B70" s="6">
        <f t="shared" si="1"/>
        <v>1</v>
      </c>
      <c r="C70" s="7" t="s">
        <v>240</v>
      </c>
      <c r="D70" s="3" t="s">
        <v>294</v>
      </c>
      <c r="E70" s="3" t="str">
        <f>VLOOKUP(D70,'Org Setup'!A:B,2,0)</f>
        <v>GS (1)</v>
      </c>
      <c r="F70" s="27">
        <f>VLOOKUP(D70,'Org Setup'!A:D,4,0)</f>
        <v>5.0999999999999996</v>
      </c>
      <c r="G70" s="36" t="s">
        <v>454</v>
      </c>
      <c r="H70" s="40" t="s">
        <v>362</v>
      </c>
    </row>
    <row r="71" spans="1:8" x14ac:dyDescent="0.3">
      <c r="A71" s="6">
        <v>2772164307</v>
      </c>
      <c r="B71" s="6">
        <f t="shared" si="1"/>
        <v>1</v>
      </c>
      <c r="C71" s="7" t="s">
        <v>240</v>
      </c>
      <c r="D71" s="3" t="s">
        <v>294</v>
      </c>
      <c r="E71" s="3" t="str">
        <f>VLOOKUP(D71,'Org Setup'!A:B,2,0)</f>
        <v>GS (1)</v>
      </c>
      <c r="F71" s="27">
        <f>VLOOKUP(D71,'Org Setup'!A:D,4,0)</f>
        <v>5.0999999999999996</v>
      </c>
    </row>
    <row r="72" spans="1:8" x14ac:dyDescent="0.3">
      <c r="A72" s="6">
        <v>2772164105</v>
      </c>
      <c r="B72" s="6">
        <f t="shared" si="1"/>
        <v>1</v>
      </c>
      <c r="C72" s="7" t="s">
        <v>240</v>
      </c>
      <c r="D72" s="3" t="s">
        <v>294</v>
      </c>
      <c r="E72" s="3" t="str">
        <f>VLOOKUP(D72,'Org Setup'!A:B,2,0)</f>
        <v>GS (1)</v>
      </c>
      <c r="F72" s="27">
        <f>VLOOKUP(D72,'Org Setup'!A:D,4,0)</f>
        <v>5.0999999999999996</v>
      </c>
    </row>
    <row r="73" spans="1:8" x14ac:dyDescent="0.3">
      <c r="A73" s="6">
        <v>2772163900</v>
      </c>
      <c r="B73" s="6">
        <f t="shared" si="1"/>
        <v>1</v>
      </c>
      <c r="C73" s="7" t="s">
        <v>240</v>
      </c>
      <c r="D73" s="3" t="s">
        <v>294</v>
      </c>
      <c r="E73" s="3" t="str">
        <f>VLOOKUP(D73,'Org Setup'!A:B,2,0)</f>
        <v>GS (1)</v>
      </c>
      <c r="F73" s="27">
        <f>VLOOKUP(D73,'Org Setup'!A:D,4,0)</f>
        <v>5.0999999999999996</v>
      </c>
    </row>
    <row r="74" spans="1:8" x14ac:dyDescent="0.3">
      <c r="A74" s="6">
        <v>2772163608</v>
      </c>
      <c r="B74" s="6">
        <f t="shared" si="1"/>
        <v>1</v>
      </c>
      <c r="C74" s="7" t="s">
        <v>240</v>
      </c>
      <c r="D74" s="3" t="s">
        <v>294</v>
      </c>
      <c r="E74" s="3" t="str">
        <f>VLOOKUP(D74,'Org Setup'!A:B,2,0)</f>
        <v>GS (1)</v>
      </c>
      <c r="F74" s="27">
        <f>VLOOKUP(D74,'Org Setup'!A:D,4,0)</f>
        <v>5.0999999999999996</v>
      </c>
    </row>
    <row r="75" spans="1:8" x14ac:dyDescent="0.3">
      <c r="A75" s="6">
        <v>2772161806</v>
      </c>
      <c r="B75" s="6">
        <f t="shared" si="1"/>
        <v>1</v>
      </c>
      <c r="C75" s="7" t="s">
        <v>240</v>
      </c>
      <c r="D75" s="3" t="s">
        <v>294</v>
      </c>
      <c r="E75" s="3" t="str">
        <f>VLOOKUP(D75,'Org Setup'!A:B,2,0)</f>
        <v>GS (1)</v>
      </c>
      <c r="F75" s="27">
        <v>4</v>
      </c>
      <c r="G75" s="38" t="s">
        <v>455</v>
      </c>
      <c r="H75" s="39" t="s">
        <v>368</v>
      </c>
    </row>
    <row r="76" spans="1:8" x14ac:dyDescent="0.3">
      <c r="A76" s="6">
        <v>2772159909</v>
      </c>
      <c r="B76" s="6">
        <f t="shared" si="1"/>
        <v>1</v>
      </c>
      <c r="C76" s="7" t="s">
        <v>240</v>
      </c>
      <c r="D76" s="3" t="s">
        <v>294</v>
      </c>
      <c r="E76" s="3" t="str">
        <f>VLOOKUP(D76,'Org Setup'!A:B,2,0)</f>
        <v>GS (1)</v>
      </c>
      <c r="F76" s="27">
        <f>VLOOKUP(D76,'Org Setup'!A:D,4,0)</f>
        <v>5.0999999999999996</v>
      </c>
    </row>
    <row r="77" spans="1:8" x14ac:dyDescent="0.3">
      <c r="A77" s="6">
        <v>2772159303</v>
      </c>
      <c r="B77" s="6">
        <f t="shared" si="1"/>
        <v>1</v>
      </c>
      <c r="C77" s="7" t="s">
        <v>240</v>
      </c>
      <c r="D77" s="3" t="s">
        <v>294</v>
      </c>
      <c r="E77" s="3" t="str">
        <f>VLOOKUP(D77,'Org Setup'!A:B,2,0)</f>
        <v>GS (1)</v>
      </c>
      <c r="F77" s="27">
        <f>VLOOKUP(D77,'Org Setup'!A:D,4,0)</f>
        <v>5.0999999999999996</v>
      </c>
    </row>
    <row r="78" spans="1:8" x14ac:dyDescent="0.3">
      <c r="A78" s="6">
        <v>2772158009</v>
      </c>
      <c r="B78" s="6">
        <f t="shared" si="1"/>
        <v>1</v>
      </c>
      <c r="C78" s="7" t="s">
        <v>240</v>
      </c>
      <c r="D78" s="3" t="s">
        <v>294</v>
      </c>
      <c r="E78" s="3" t="str">
        <f>VLOOKUP(D78,'Org Setup'!A:B,2,0)</f>
        <v>GS (1)</v>
      </c>
      <c r="F78" s="27">
        <f>VLOOKUP(D78,'Org Setup'!A:D,4,0)</f>
        <v>5.0999999999999996</v>
      </c>
    </row>
    <row r="79" spans="1:8" x14ac:dyDescent="0.3">
      <c r="A79" s="6">
        <v>2772155800</v>
      </c>
      <c r="B79" s="6">
        <f t="shared" si="1"/>
        <v>1</v>
      </c>
      <c r="C79" s="7" t="s">
        <v>240</v>
      </c>
      <c r="D79" s="3" t="s">
        <v>294</v>
      </c>
      <c r="E79" s="3" t="str">
        <f>VLOOKUP(D79,'Org Setup'!A:B,2,0)</f>
        <v>GS (1)</v>
      </c>
      <c r="F79" s="27">
        <f>VLOOKUP(D79,'Org Setup'!A:D,4,0)</f>
        <v>5.0999999999999996</v>
      </c>
    </row>
    <row r="80" spans="1:8" x14ac:dyDescent="0.3">
      <c r="A80" s="6">
        <v>2772153403</v>
      </c>
      <c r="B80" s="6">
        <f t="shared" si="1"/>
        <v>1</v>
      </c>
      <c r="C80" s="7" t="s">
        <v>240</v>
      </c>
      <c r="D80" s="3" t="s">
        <v>294</v>
      </c>
      <c r="E80" s="3" t="str">
        <f>VLOOKUP(D80,'Org Setup'!A:B,2,0)</f>
        <v>GS (1)</v>
      </c>
      <c r="F80" s="27">
        <f>VLOOKUP(D80,'Org Setup'!A:D,4,0)</f>
        <v>5.0999999999999996</v>
      </c>
    </row>
    <row r="81" spans="1:8" x14ac:dyDescent="0.3">
      <c r="A81" s="6">
        <v>2772153010</v>
      </c>
      <c r="B81" s="6">
        <f t="shared" si="1"/>
        <v>1</v>
      </c>
      <c r="C81" s="7" t="s">
        <v>240</v>
      </c>
      <c r="D81" s="3" t="s">
        <v>294</v>
      </c>
      <c r="E81" s="3" t="str">
        <f>VLOOKUP(D81,'Org Setup'!A:B,2,0)</f>
        <v>GS (1)</v>
      </c>
      <c r="F81" s="27">
        <f>VLOOKUP(D81,'Org Setup'!A:D,4,0)</f>
        <v>5.0999999999999996</v>
      </c>
    </row>
    <row r="82" spans="1:8" x14ac:dyDescent="0.3">
      <c r="A82" s="6">
        <v>2772150610</v>
      </c>
      <c r="B82" s="6">
        <f t="shared" si="1"/>
        <v>1</v>
      </c>
      <c r="C82" s="7" t="s">
        <v>240</v>
      </c>
      <c r="D82" s="3" t="s">
        <v>294</v>
      </c>
      <c r="E82" s="3" t="str">
        <f>VLOOKUP(D82,'Org Setup'!A:B,2,0)</f>
        <v>GS (1)</v>
      </c>
      <c r="F82" s="27">
        <f>VLOOKUP(D82,'Org Setup'!A:D,4,0)</f>
        <v>5.0999999999999996</v>
      </c>
      <c r="G82" s="36" t="s">
        <v>456</v>
      </c>
      <c r="H82" s="40" t="s">
        <v>384</v>
      </c>
    </row>
    <row r="83" spans="1:8" x14ac:dyDescent="0.3">
      <c r="A83" s="6">
        <v>2772149805</v>
      </c>
      <c r="B83" s="6">
        <f t="shared" si="1"/>
        <v>1</v>
      </c>
      <c r="C83" s="7" t="s">
        <v>240</v>
      </c>
      <c r="D83" s="3" t="s">
        <v>294</v>
      </c>
      <c r="E83" s="3" t="str">
        <f>VLOOKUP(D83,'Org Setup'!A:B,2,0)</f>
        <v>GS (1)</v>
      </c>
      <c r="F83" s="27">
        <f>VLOOKUP(D83,'Org Setup'!A:D,4,0)</f>
        <v>5.0999999999999996</v>
      </c>
      <c r="G83" s="36" t="s">
        <v>457</v>
      </c>
      <c r="H83" s="40" t="s">
        <v>382</v>
      </c>
    </row>
    <row r="84" spans="1:8" x14ac:dyDescent="0.3">
      <c r="A84" s="6">
        <v>2772148500</v>
      </c>
      <c r="B84" s="6">
        <f t="shared" si="1"/>
        <v>1</v>
      </c>
      <c r="C84" s="7" t="s">
        <v>240</v>
      </c>
      <c r="D84" s="3" t="s">
        <v>294</v>
      </c>
      <c r="E84" s="3" t="str">
        <f>VLOOKUP(D84,'Org Setup'!A:B,2,0)</f>
        <v>GS (1)</v>
      </c>
      <c r="F84" s="27">
        <f>VLOOKUP(D84,'Org Setup'!A:D,4,0)</f>
        <v>5.0999999999999996</v>
      </c>
      <c r="G84" s="36" t="s">
        <v>458</v>
      </c>
      <c r="H84" s="40" t="s">
        <v>388</v>
      </c>
    </row>
    <row r="85" spans="1:8" x14ac:dyDescent="0.3">
      <c r="A85" s="6">
        <v>2772146608</v>
      </c>
      <c r="B85" s="6">
        <f t="shared" si="1"/>
        <v>1</v>
      </c>
      <c r="C85" s="7" t="s">
        <v>240</v>
      </c>
      <c r="D85" s="3" t="s">
        <v>294</v>
      </c>
      <c r="E85" s="3" t="str">
        <f>VLOOKUP(D85,'Org Setup'!A:B,2,0)</f>
        <v>GS (1)</v>
      </c>
      <c r="F85" s="27">
        <v>5</v>
      </c>
      <c r="G85" s="36" t="s">
        <v>459</v>
      </c>
      <c r="H85" s="39" t="s">
        <v>390</v>
      </c>
    </row>
    <row r="86" spans="1:8" ht="18" x14ac:dyDescent="0.35">
      <c r="A86" s="6">
        <v>2772146507</v>
      </c>
      <c r="B86" s="6">
        <f t="shared" si="1"/>
        <v>1</v>
      </c>
      <c r="C86" s="7" t="s">
        <v>240</v>
      </c>
      <c r="D86" s="3" t="s">
        <v>294</v>
      </c>
      <c r="E86" s="3" t="str">
        <f>VLOOKUP(D86,'Org Setup'!A:B,2,0)</f>
        <v>GS (1)</v>
      </c>
      <c r="F86" s="27">
        <f>VLOOKUP(D86,'Org Setup'!A:D,4,0)</f>
        <v>5.0999999999999996</v>
      </c>
      <c r="G86" t="s">
        <v>460</v>
      </c>
      <c r="H86" s="54" t="s">
        <v>352</v>
      </c>
    </row>
    <row r="87" spans="1:8" x14ac:dyDescent="0.3">
      <c r="A87" s="6">
        <v>2772146103</v>
      </c>
      <c r="B87" s="6">
        <f t="shared" si="1"/>
        <v>1</v>
      </c>
      <c r="C87" s="7" t="s">
        <v>240</v>
      </c>
      <c r="D87" s="3" t="s">
        <v>294</v>
      </c>
      <c r="E87" s="3" t="str">
        <f>VLOOKUP(D87,'Org Setup'!A:B,2,0)</f>
        <v>GS (1)</v>
      </c>
      <c r="F87" s="27">
        <f>VLOOKUP(D87,'Org Setup'!A:D,4,0)</f>
        <v>5.0999999999999996</v>
      </c>
      <c r="G87" t="s">
        <v>461</v>
      </c>
      <c r="H87" t="s">
        <v>354</v>
      </c>
    </row>
    <row r="88" spans="1:8" x14ac:dyDescent="0.3">
      <c r="A88" s="6">
        <v>2772145909</v>
      </c>
      <c r="B88" s="6">
        <f t="shared" si="1"/>
        <v>1</v>
      </c>
      <c r="C88" s="7" t="s">
        <v>240</v>
      </c>
      <c r="D88" s="3" t="s">
        <v>294</v>
      </c>
      <c r="E88" s="3" t="str">
        <f>VLOOKUP(D88,'Org Setup'!A:B,2,0)</f>
        <v>GS (1)</v>
      </c>
      <c r="F88" s="27">
        <f>VLOOKUP(D88,'Org Setup'!A:D,4,0)</f>
        <v>5.0999999999999996</v>
      </c>
      <c r="G88" t="s">
        <v>462</v>
      </c>
      <c r="H88" t="s">
        <v>356</v>
      </c>
    </row>
    <row r="89" spans="1:8" x14ac:dyDescent="0.3">
      <c r="A89" s="6">
        <v>2772145505</v>
      </c>
      <c r="B89" s="6">
        <f t="shared" si="1"/>
        <v>1</v>
      </c>
      <c r="C89" s="7" t="s">
        <v>240</v>
      </c>
      <c r="D89" s="3" t="s">
        <v>294</v>
      </c>
      <c r="E89" s="3" t="str">
        <f>VLOOKUP(D89,'Org Setup'!A:B,2,0)</f>
        <v>GS (1)</v>
      </c>
      <c r="F89" s="27">
        <f>VLOOKUP(D89,'Org Setup'!A:D,4,0)</f>
        <v>5.0999999999999996</v>
      </c>
      <c r="G89" t="s">
        <v>445</v>
      </c>
      <c r="H89" s="55" t="s">
        <v>436</v>
      </c>
    </row>
    <row r="90" spans="1:8" x14ac:dyDescent="0.3">
      <c r="A90" s="6">
        <v>2772144604</v>
      </c>
      <c r="B90" s="6">
        <f t="shared" si="1"/>
        <v>1</v>
      </c>
      <c r="C90" s="7" t="s">
        <v>240</v>
      </c>
      <c r="D90" s="3" t="s">
        <v>294</v>
      </c>
      <c r="E90" s="3" t="str">
        <f>VLOOKUP(D90,'Org Setup'!A:B,2,0)</f>
        <v>GS (1)</v>
      </c>
      <c r="F90" s="27">
        <f>VLOOKUP(D90,'Org Setup'!A:D,4,0)</f>
        <v>5.0999999999999996</v>
      </c>
    </row>
    <row r="91" spans="1:8" x14ac:dyDescent="0.3">
      <c r="A91" s="6">
        <v>2772144110</v>
      </c>
      <c r="B91" s="6">
        <f t="shared" si="1"/>
        <v>1</v>
      </c>
      <c r="C91" s="7" t="s">
        <v>240</v>
      </c>
      <c r="D91" s="3" t="s">
        <v>294</v>
      </c>
      <c r="E91" s="3" t="str">
        <f>VLOOKUP(D91,'Org Setup'!A:B,2,0)</f>
        <v>GS (1)</v>
      </c>
      <c r="F91" s="27">
        <f>VLOOKUP(D91,'Org Setup'!A:D,4,0)</f>
        <v>5.0999999999999996</v>
      </c>
      <c r="G91" s="36" t="s">
        <v>463</v>
      </c>
      <c r="H91" s="39" t="s">
        <v>394</v>
      </c>
    </row>
    <row r="92" spans="1:8" x14ac:dyDescent="0.3">
      <c r="A92" s="6">
        <v>2772143602</v>
      </c>
      <c r="B92" s="6">
        <f t="shared" si="1"/>
        <v>1</v>
      </c>
      <c r="C92" s="7" t="s">
        <v>240</v>
      </c>
      <c r="D92" s="3" t="s">
        <v>294</v>
      </c>
      <c r="E92" s="3" t="str">
        <f>VLOOKUP(D92,'Org Setup'!A:B,2,0)</f>
        <v>GS (1)</v>
      </c>
      <c r="F92" s="27">
        <f>VLOOKUP(D92,'Org Setup'!A:D,4,0)</f>
        <v>5.0999999999999996</v>
      </c>
      <c r="G92" s="36" t="s">
        <v>451</v>
      </c>
      <c r="H92" s="40" t="s">
        <v>363</v>
      </c>
    </row>
    <row r="93" spans="1:8" x14ac:dyDescent="0.3">
      <c r="A93" s="6">
        <v>2772142510</v>
      </c>
      <c r="B93" s="6">
        <f t="shared" si="1"/>
        <v>1</v>
      </c>
      <c r="C93" s="7" t="s">
        <v>240</v>
      </c>
      <c r="D93" s="3" t="s">
        <v>294</v>
      </c>
      <c r="E93" s="3" t="str">
        <f>VLOOKUP(D93,'Org Setup'!A:B,2,0)</f>
        <v>GS (1)</v>
      </c>
      <c r="F93" s="27">
        <v>5.2</v>
      </c>
      <c r="G93" s="36" t="s">
        <v>464</v>
      </c>
      <c r="H93" s="39" t="s">
        <v>378</v>
      </c>
    </row>
    <row r="94" spans="1:8" x14ac:dyDescent="0.3">
      <c r="A94" s="6">
        <v>2772141205</v>
      </c>
      <c r="B94" s="6">
        <f t="shared" si="1"/>
        <v>1</v>
      </c>
      <c r="C94" s="7" t="s">
        <v>240</v>
      </c>
      <c r="D94" s="3" t="s">
        <v>294</v>
      </c>
      <c r="E94" s="3" t="str">
        <f>VLOOKUP(D94,'Org Setup'!A:B,2,0)</f>
        <v>GS (1)</v>
      </c>
      <c r="F94" s="27">
        <f>VLOOKUP(D94,'Org Setup'!A:D,4,0)</f>
        <v>5.0999999999999996</v>
      </c>
      <c r="G94" s="36" t="s">
        <v>465</v>
      </c>
      <c r="H94" s="40" t="s">
        <v>386</v>
      </c>
    </row>
    <row r="95" spans="1:8" ht="18" x14ac:dyDescent="0.35">
      <c r="A95" s="6">
        <v>2772139600</v>
      </c>
      <c r="B95" s="6">
        <f t="shared" si="1"/>
        <v>1</v>
      </c>
      <c r="C95" s="7" t="s">
        <v>240</v>
      </c>
      <c r="D95" s="3" t="s">
        <v>294</v>
      </c>
      <c r="E95" s="3" t="str">
        <f>VLOOKUP(D95,'Org Setup'!A:B,2,0)</f>
        <v>GS (1)</v>
      </c>
      <c r="F95" s="27">
        <f>VLOOKUP(D95,'Org Setup'!A:D,4,0)</f>
        <v>5.0999999999999996</v>
      </c>
      <c r="G95" t="s">
        <v>445</v>
      </c>
      <c r="H95" s="54" t="s">
        <v>436</v>
      </c>
    </row>
    <row r="96" spans="1:8" x14ac:dyDescent="0.3">
      <c r="A96" s="6">
        <v>2772139207</v>
      </c>
      <c r="B96" s="6">
        <f t="shared" si="1"/>
        <v>1</v>
      </c>
      <c r="C96" s="7" t="s">
        <v>240</v>
      </c>
      <c r="D96" s="3" t="s">
        <v>294</v>
      </c>
      <c r="E96" s="3" t="str">
        <f>VLOOKUP(D96,'Org Setup'!A:B,2,0)</f>
        <v>GS (1)</v>
      </c>
      <c r="F96" s="27">
        <f>VLOOKUP(D96,'Org Setup'!A:D,4,0)</f>
        <v>5.0999999999999996</v>
      </c>
    </row>
    <row r="97" spans="1:8" x14ac:dyDescent="0.3">
      <c r="A97" s="6">
        <v>2772138800</v>
      </c>
      <c r="B97" s="6">
        <f t="shared" si="1"/>
        <v>1</v>
      </c>
      <c r="C97" s="7" t="s">
        <v>240</v>
      </c>
      <c r="D97" s="3" t="s">
        <v>294</v>
      </c>
      <c r="E97" s="3" t="str">
        <f>VLOOKUP(D97,'Org Setup'!A:B,2,0)</f>
        <v>GS (1)</v>
      </c>
      <c r="F97" s="27">
        <f>VLOOKUP(D97,'Org Setup'!A:D,4,0)</f>
        <v>5.0999999999999996</v>
      </c>
    </row>
    <row r="98" spans="1:8" x14ac:dyDescent="0.3">
      <c r="A98" s="6">
        <v>2772132406</v>
      </c>
      <c r="B98" s="6">
        <f t="shared" si="1"/>
        <v>1</v>
      </c>
      <c r="C98" s="7" t="s">
        <v>240</v>
      </c>
      <c r="D98" s="3" t="s">
        <v>294</v>
      </c>
      <c r="E98" s="3" t="str">
        <f>VLOOKUP(D98,'Org Setup'!A:B,2,0)</f>
        <v>GS (1)</v>
      </c>
      <c r="F98" s="27">
        <f>VLOOKUP(D98,'Org Setup'!A:D,4,0)</f>
        <v>5.0999999999999996</v>
      </c>
    </row>
    <row r="99" spans="1:8" x14ac:dyDescent="0.3">
      <c r="A99" s="6">
        <v>2772132002</v>
      </c>
      <c r="B99" s="6">
        <f t="shared" si="1"/>
        <v>1</v>
      </c>
      <c r="C99" s="7" t="s">
        <v>240</v>
      </c>
      <c r="D99" s="3" t="s">
        <v>294</v>
      </c>
      <c r="E99" s="3" t="str">
        <f>VLOOKUP(D99,'Org Setup'!A:B,2,0)</f>
        <v>GS (1)</v>
      </c>
      <c r="F99" s="27">
        <f>VLOOKUP(D99,'Org Setup'!A:D,4,0)</f>
        <v>5.0999999999999996</v>
      </c>
    </row>
    <row r="100" spans="1:8" x14ac:dyDescent="0.3">
      <c r="A100" s="6">
        <v>2726535710</v>
      </c>
      <c r="B100" s="6">
        <f t="shared" si="1"/>
        <v>1</v>
      </c>
      <c r="C100" s="7" t="s">
        <v>240</v>
      </c>
      <c r="D100" s="3" t="s">
        <v>294</v>
      </c>
      <c r="E100" s="3" t="str">
        <f>VLOOKUP(D100,'Org Setup'!A:B,2,0)</f>
        <v>GS (1)</v>
      </c>
      <c r="F100" s="27">
        <v>3</v>
      </c>
      <c r="G100" s="36" t="s">
        <v>466</v>
      </c>
      <c r="H100" s="40" t="s">
        <v>427</v>
      </c>
    </row>
    <row r="101" spans="1:8" x14ac:dyDescent="0.3">
      <c r="A101" s="6">
        <v>2237643509</v>
      </c>
      <c r="B101" s="6">
        <f t="shared" si="1"/>
        <v>1</v>
      </c>
      <c r="C101" s="7" t="s">
        <v>240</v>
      </c>
      <c r="D101" s="3" t="s">
        <v>294</v>
      </c>
      <c r="E101" s="3" t="str">
        <f>VLOOKUP(D101,'Org Setup'!A:B,2,0)</f>
        <v>GS (1)</v>
      </c>
      <c r="F101" s="27">
        <f>VLOOKUP(D101,'Org Setup'!A:D,4,0)</f>
        <v>5.0999999999999996</v>
      </c>
    </row>
    <row r="102" spans="1:8" x14ac:dyDescent="0.3">
      <c r="A102" s="6">
        <v>2210520310</v>
      </c>
      <c r="B102" s="6">
        <f t="shared" si="1"/>
        <v>1</v>
      </c>
      <c r="C102" s="7" t="s">
        <v>240</v>
      </c>
      <c r="D102" s="3" t="s">
        <v>294</v>
      </c>
      <c r="E102" s="3" t="str">
        <f>VLOOKUP(D102,'Org Setup'!A:B,2,0)</f>
        <v>GS (1)</v>
      </c>
      <c r="F102" s="27">
        <f>VLOOKUP(D102,'Org Setup'!A:D,4,0)</f>
        <v>5.0999999999999996</v>
      </c>
      <c r="G102" s="38" t="s">
        <v>467</v>
      </c>
      <c r="H102" s="38" t="s">
        <v>429</v>
      </c>
    </row>
    <row r="103" spans="1:8" x14ac:dyDescent="0.3">
      <c r="A103" s="6">
        <v>2210051806</v>
      </c>
      <c r="B103" s="6">
        <f t="shared" si="1"/>
        <v>1</v>
      </c>
      <c r="C103" s="7" t="s">
        <v>240</v>
      </c>
      <c r="D103" s="3" t="s">
        <v>294</v>
      </c>
      <c r="E103" s="3" t="str">
        <f>VLOOKUP(D103,'Org Setup'!A:B,2,0)</f>
        <v>GS (1)</v>
      </c>
      <c r="F103" s="27">
        <f>VLOOKUP(D103,'Org Setup'!A:D,4,0)</f>
        <v>5.0999999999999996</v>
      </c>
      <c r="G103" s="36" t="s">
        <v>468</v>
      </c>
      <c r="H103" s="40" t="s">
        <v>433</v>
      </c>
    </row>
    <row r="104" spans="1:8" x14ac:dyDescent="0.3">
      <c r="A104" s="6">
        <v>2210051604</v>
      </c>
      <c r="B104" s="6">
        <f t="shared" si="1"/>
        <v>1</v>
      </c>
      <c r="C104" s="7" t="s">
        <v>240</v>
      </c>
      <c r="D104" s="3" t="s">
        <v>294</v>
      </c>
      <c r="E104" s="3" t="str">
        <f>VLOOKUP(D104,'Org Setup'!A:B,2,0)</f>
        <v>GS (1)</v>
      </c>
      <c r="F104" s="27">
        <f>VLOOKUP(D104,'Org Setup'!A:D,4,0)</f>
        <v>5.0999999999999996</v>
      </c>
      <c r="G104" s="36" t="s">
        <v>469</v>
      </c>
      <c r="H104" s="40" t="s">
        <v>431</v>
      </c>
    </row>
    <row r="105" spans="1:8" x14ac:dyDescent="0.3">
      <c r="A105" s="6">
        <v>2210045609</v>
      </c>
      <c r="B105" s="6">
        <f t="shared" si="1"/>
        <v>1</v>
      </c>
      <c r="C105" s="7" t="s">
        <v>240</v>
      </c>
      <c r="D105" s="3" t="s">
        <v>294</v>
      </c>
      <c r="E105" s="3" t="str">
        <f>VLOOKUP(D105,'Org Setup'!A:B,2,0)</f>
        <v>GS (1)</v>
      </c>
      <c r="F105" s="27">
        <f>VLOOKUP(D105,'Org Setup'!A:D,4,0)</f>
        <v>5.0999999999999996</v>
      </c>
      <c r="G105" s="36" t="s">
        <v>470</v>
      </c>
      <c r="H105" s="36" t="s">
        <v>425</v>
      </c>
    </row>
    <row r="106" spans="1:8" x14ac:dyDescent="0.3">
      <c r="A106" s="6">
        <v>2210025300</v>
      </c>
      <c r="B106" s="6">
        <f t="shared" si="1"/>
        <v>1</v>
      </c>
      <c r="C106" s="7" t="s">
        <v>240</v>
      </c>
      <c r="D106" s="3" t="s">
        <v>294</v>
      </c>
      <c r="E106" s="3" t="str">
        <f>VLOOKUP(D106,'Org Setup'!A:B,2,0)</f>
        <v>GS (1)</v>
      </c>
      <c r="F106" s="27">
        <f>VLOOKUP(D106,'Org Setup'!A:D,4,0)</f>
        <v>5.0999999999999996</v>
      </c>
      <c r="G106" s="41" t="s">
        <v>471</v>
      </c>
      <c r="H106" s="40" t="s">
        <v>412</v>
      </c>
    </row>
    <row r="107" spans="1:8" x14ac:dyDescent="0.3">
      <c r="A107" s="6">
        <v>2197821604</v>
      </c>
      <c r="B107" s="6">
        <f t="shared" si="1"/>
        <v>1</v>
      </c>
      <c r="C107" s="7" t="s">
        <v>240</v>
      </c>
      <c r="D107" s="3" t="s">
        <v>294</v>
      </c>
      <c r="E107" s="3" t="str">
        <f>VLOOKUP(D107,'Org Setup'!A:B,2,0)</f>
        <v>GS (1)</v>
      </c>
      <c r="F107" s="27">
        <f>VLOOKUP(D107,'Org Setup'!A:D,4,0)</f>
        <v>5.0999999999999996</v>
      </c>
      <c r="G107" s="36" t="s">
        <v>472</v>
      </c>
      <c r="H107" s="40" t="s">
        <v>440</v>
      </c>
    </row>
    <row r="108" spans="1:8" x14ac:dyDescent="0.3">
      <c r="A108" s="6">
        <v>2108847303</v>
      </c>
      <c r="B108" s="6">
        <f t="shared" si="1"/>
        <v>1</v>
      </c>
      <c r="C108" s="7" t="s">
        <v>240</v>
      </c>
      <c r="D108" s="3" t="s">
        <v>294</v>
      </c>
      <c r="E108" s="3" t="str">
        <f>VLOOKUP(D108,'Org Setup'!A:B,2,0)</f>
        <v>GS (1)</v>
      </c>
      <c r="F108" s="27">
        <f>VLOOKUP(D108,'Org Setup'!A:D,4,0)</f>
        <v>5.0999999999999996</v>
      </c>
    </row>
    <row r="109" spans="1:8" x14ac:dyDescent="0.3">
      <c r="A109" s="6">
        <v>2097831409</v>
      </c>
      <c r="B109" s="6">
        <f t="shared" si="1"/>
        <v>1</v>
      </c>
      <c r="C109" s="7" t="s">
        <v>240</v>
      </c>
      <c r="D109" s="3" t="s">
        <v>294</v>
      </c>
      <c r="E109" s="3" t="str">
        <f>VLOOKUP(D109,'Org Setup'!A:B,2,0)</f>
        <v>GS (1)</v>
      </c>
      <c r="F109" s="27">
        <f>VLOOKUP(D109,'Org Setup'!A:D,4,0)</f>
        <v>5.0999999999999996</v>
      </c>
    </row>
    <row r="110" spans="1:8" x14ac:dyDescent="0.3">
      <c r="A110" s="6">
        <v>2070643203</v>
      </c>
      <c r="B110" s="6">
        <f t="shared" si="1"/>
        <v>1</v>
      </c>
      <c r="C110" s="7" t="s">
        <v>240</v>
      </c>
      <c r="D110" s="3" t="s">
        <v>294</v>
      </c>
      <c r="E110" s="3" t="str">
        <f>VLOOKUP(D110,'Org Setup'!A:B,2,0)</f>
        <v>GS (1)</v>
      </c>
      <c r="F110" s="27">
        <f>VLOOKUP(D110,'Org Setup'!A:D,4,0)</f>
        <v>5.0999999999999996</v>
      </c>
    </row>
    <row r="111" spans="1:8" x14ac:dyDescent="0.3">
      <c r="A111" s="6">
        <v>2062605603</v>
      </c>
      <c r="B111" s="6">
        <f t="shared" si="1"/>
        <v>1</v>
      </c>
      <c r="C111" s="7" t="s">
        <v>240</v>
      </c>
      <c r="D111" s="3" t="s">
        <v>294</v>
      </c>
      <c r="E111" s="3" t="str">
        <f>VLOOKUP(D111,'Org Setup'!A:B,2,0)</f>
        <v>GS (1)</v>
      </c>
      <c r="F111" s="27">
        <f>VLOOKUP(D111,'Org Setup'!A:D,4,0)</f>
        <v>5.0999999999999996</v>
      </c>
    </row>
    <row r="112" spans="1:8" hidden="1" x14ac:dyDescent="0.3">
      <c r="A112" s="6">
        <v>1021455101</v>
      </c>
      <c r="B112" s="6">
        <f t="shared" si="1"/>
        <v>1</v>
      </c>
      <c r="C112" s="7" t="s">
        <v>163</v>
      </c>
      <c r="D112" s="3" t="s">
        <v>210</v>
      </c>
      <c r="E112" s="3" t="str">
        <f>VLOOKUP(D112,'Org Setup'!A:B,2,0)</f>
        <v>GS (1)</v>
      </c>
      <c r="F112" s="27">
        <f>VLOOKUP(D112,'Org Setup'!A:D,4,0)</f>
        <v>5.0999999999999996</v>
      </c>
    </row>
    <row r="113" spans="1:8" hidden="1" x14ac:dyDescent="0.3">
      <c r="A113" s="6">
        <v>1021398205</v>
      </c>
      <c r="B113" s="6">
        <f t="shared" si="1"/>
        <v>1</v>
      </c>
      <c r="C113" s="7" t="s">
        <v>163</v>
      </c>
      <c r="D113" s="3" t="s">
        <v>210</v>
      </c>
      <c r="E113" s="3" t="str">
        <f>VLOOKUP(D113,'Org Setup'!A:B,2,0)</f>
        <v>GS (1)</v>
      </c>
      <c r="F113" s="27">
        <f>VLOOKUP(D113,'Org Setup'!A:D,4,0)</f>
        <v>5.0999999999999996</v>
      </c>
    </row>
    <row r="114" spans="1:8" hidden="1" x14ac:dyDescent="0.3">
      <c r="A114" s="6">
        <v>1021066606</v>
      </c>
      <c r="B114" s="6">
        <f t="shared" si="1"/>
        <v>1</v>
      </c>
      <c r="C114" s="7" t="s">
        <v>163</v>
      </c>
      <c r="D114" s="3" t="s">
        <v>210</v>
      </c>
      <c r="E114" s="3" t="str">
        <f>VLOOKUP(D114,'Org Setup'!A:B,2,0)</f>
        <v>GS (1)</v>
      </c>
      <c r="F114" s="27">
        <f>VLOOKUP(D114,'Org Setup'!A:D,4,0)</f>
        <v>5.0999999999999996</v>
      </c>
    </row>
    <row r="115" spans="1:8" hidden="1" x14ac:dyDescent="0.3">
      <c r="A115" s="6">
        <v>1018920109</v>
      </c>
      <c r="B115" s="6">
        <f t="shared" si="1"/>
        <v>1</v>
      </c>
      <c r="C115" s="7" t="s">
        <v>163</v>
      </c>
      <c r="D115" s="3" t="s">
        <v>210</v>
      </c>
      <c r="E115" s="3" t="str">
        <f>VLOOKUP(D115,'Org Setup'!A:B,2,0)</f>
        <v>GS (1)</v>
      </c>
      <c r="F115" s="27">
        <f>VLOOKUP(D115,'Org Setup'!A:D,4,0)</f>
        <v>5.0999999999999996</v>
      </c>
    </row>
    <row r="116" spans="1:8" hidden="1" x14ac:dyDescent="0.3">
      <c r="A116" s="6">
        <v>1018744003</v>
      </c>
      <c r="B116" s="6">
        <f t="shared" si="1"/>
        <v>1</v>
      </c>
      <c r="C116" s="7" t="s">
        <v>163</v>
      </c>
      <c r="D116" s="3" t="s">
        <v>210</v>
      </c>
      <c r="E116" s="3" t="str">
        <f>VLOOKUP(D116,'Org Setup'!A:B,2,0)</f>
        <v>GS (1)</v>
      </c>
      <c r="F116" s="27">
        <f>VLOOKUP(D116,'Org Setup'!A:D,4,0)</f>
        <v>5.0999999999999996</v>
      </c>
    </row>
    <row r="117" spans="1:8" hidden="1" x14ac:dyDescent="0.3">
      <c r="A117" s="6">
        <v>1018171610</v>
      </c>
      <c r="B117" s="6">
        <f t="shared" si="1"/>
        <v>1</v>
      </c>
      <c r="C117" s="7" t="s">
        <v>163</v>
      </c>
      <c r="D117" s="3" t="s">
        <v>210</v>
      </c>
      <c r="E117" s="3" t="str">
        <f>VLOOKUP(D117,'Org Setup'!A:B,2,0)</f>
        <v>GS (1)</v>
      </c>
      <c r="F117" s="27">
        <f>VLOOKUP(D117,'Org Setup'!A:D,4,0)</f>
        <v>5.0999999999999996</v>
      </c>
    </row>
    <row r="118" spans="1:8" hidden="1" x14ac:dyDescent="0.3">
      <c r="A118" s="6">
        <v>1017970108</v>
      </c>
      <c r="B118" s="6">
        <f t="shared" si="1"/>
        <v>1</v>
      </c>
      <c r="C118" s="7" t="s">
        <v>163</v>
      </c>
      <c r="D118" s="3" t="s">
        <v>210</v>
      </c>
      <c r="E118" s="3" t="str">
        <f>VLOOKUP(D118,'Org Setup'!A:B,2,0)</f>
        <v>GS (1)</v>
      </c>
      <c r="F118" s="27">
        <f>VLOOKUP(D118,'Org Setup'!A:D,4,0)</f>
        <v>5.0999999999999996</v>
      </c>
    </row>
    <row r="119" spans="1:8" hidden="1" x14ac:dyDescent="0.3">
      <c r="A119" s="6">
        <v>1017963605</v>
      </c>
      <c r="B119" s="6">
        <f t="shared" si="1"/>
        <v>1</v>
      </c>
      <c r="C119" s="7" t="s">
        <v>163</v>
      </c>
      <c r="D119" s="3" t="s">
        <v>210</v>
      </c>
      <c r="E119" s="3" t="str">
        <f>VLOOKUP(D119,'Org Setup'!A:B,2,0)</f>
        <v>GS (1)</v>
      </c>
      <c r="F119" s="27">
        <f>VLOOKUP(D119,'Org Setup'!A:D,4,0)</f>
        <v>5.0999999999999996</v>
      </c>
    </row>
    <row r="120" spans="1:8" hidden="1" x14ac:dyDescent="0.3">
      <c r="A120" s="6">
        <v>1017917508</v>
      </c>
      <c r="B120" s="6">
        <f t="shared" si="1"/>
        <v>1</v>
      </c>
      <c r="C120" s="7" t="s">
        <v>163</v>
      </c>
      <c r="D120" s="3" t="s">
        <v>210</v>
      </c>
      <c r="E120" s="3" t="str">
        <f>VLOOKUP(D120,'Org Setup'!A:B,2,0)</f>
        <v>GS (1)</v>
      </c>
      <c r="F120" s="27">
        <f>VLOOKUP(D120,'Org Setup'!A:D,4,0)</f>
        <v>5.0999999999999996</v>
      </c>
    </row>
    <row r="121" spans="1:8" hidden="1" x14ac:dyDescent="0.3">
      <c r="A121" s="6">
        <v>1017804607</v>
      </c>
      <c r="B121" s="6">
        <f t="shared" si="1"/>
        <v>1</v>
      </c>
      <c r="C121" s="7" t="s">
        <v>163</v>
      </c>
      <c r="D121" s="3" t="s">
        <v>210</v>
      </c>
      <c r="E121" s="3" t="str">
        <f>VLOOKUP(D121,'Org Setup'!A:B,2,0)</f>
        <v>GS (1)</v>
      </c>
      <c r="F121" s="27">
        <f>VLOOKUP(D121,'Org Setup'!A:D,4,0)</f>
        <v>5.0999999999999996</v>
      </c>
    </row>
    <row r="122" spans="1:8" hidden="1" x14ac:dyDescent="0.3">
      <c r="A122" s="6">
        <v>1017620810</v>
      </c>
      <c r="B122" s="6">
        <f t="shared" si="1"/>
        <v>1</v>
      </c>
      <c r="C122" s="7" t="s">
        <v>163</v>
      </c>
      <c r="D122" s="3" t="s">
        <v>210</v>
      </c>
      <c r="E122" s="3" t="str">
        <f>VLOOKUP(D122,'Org Setup'!A:B,2,0)</f>
        <v>GS (1)</v>
      </c>
      <c r="F122" s="27">
        <f>VLOOKUP(D122,'Org Setup'!A:D,4,0)</f>
        <v>5.0999999999999996</v>
      </c>
    </row>
    <row r="123" spans="1:8" hidden="1" x14ac:dyDescent="0.3">
      <c r="A123" s="6">
        <v>1017503604</v>
      </c>
      <c r="B123" s="6">
        <f t="shared" si="1"/>
        <v>1</v>
      </c>
      <c r="C123" s="7" t="s">
        <v>163</v>
      </c>
      <c r="D123" s="3" t="s">
        <v>210</v>
      </c>
      <c r="E123" s="3" t="str">
        <f>VLOOKUP(D123,'Org Setup'!A:B,2,0)</f>
        <v>GS (1)</v>
      </c>
      <c r="F123" s="27">
        <f>VLOOKUP(D123,'Org Setup'!A:D,4,0)</f>
        <v>5.0999999999999996</v>
      </c>
    </row>
    <row r="124" spans="1:8" hidden="1" x14ac:dyDescent="0.3">
      <c r="A124" s="6">
        <v>1017416710</v>
      </c>
      <c r="B124" s="6">
        <f t="shared" si="1"/>
        <v>1</v>
      </c>
      <c r="C124" s="7" t="s">
        <v>163</v>
      </c>
      <c r="D124" s="3" t="s">
        <v>210</v>
      </c>
      <c r="E124" s="3" t="str">
        <f>VLOOKUP(D124,'Org Setup'!A:B,2,0)</f>
        <v>GS (1)</v>
      </c>
      <c r="F124" s="27">
        <f>VLOOKUP(D124,'Org Setup'!A:D,4,0)</f>
        <v>5.0999999999999996</v>
      </c>
    </row>
    <row r="125" spans="1:8" hidden="1" x14ac:dyDescent="0.3">
      <c r="A125" s="6">
        <v>1017222405</v>
      </c>
      <c r="B125" s="6">
        <f t="shared" si="1"/>
        <v>1</v>
      </c>
      <c r="C125" s="7" t="s">
        <v>163</v>
      </c>
      <c r="D125" s="3" t="s">
        <v>210</v>
      </c>
      <c r="E125" s="3" t="str">
        <f>VLOOKUP(D125,'Org Setup'!A:B,2,0)</f>
        <v>GS (1)</v>
      </c>
      <c r="F125" s="27">
        <f>VLOOKUP(D125,'Org Setup'!A:D,4,0)</f>
        <v>5.0999999999999996</v>
      </c>
      <c r="G125" s="7"/>
      <c r="H125" s="7"/>
    </row>
    <row r="126" spans="1:8" hidden="1" x14ac:dyDescent="0.3">
      <c r="A126" s="6">
        <v>1017145604</v>
      </c>
      <c r="B126" s="6">
        <f t="shared" si="1"/>
        <v>1</v>
      </c>
      <c r="C126" s="7" t="s">
        <v>163</v>
      </c>
      <c r="D126" s="3" t="s">
        <v>210</v>
      </c>
      <c r="E126" s="3" t="str">
        <f>VLOOKUP(D126,'Org Setup'!A:B,2,0)</f>
        <v>GS (1)</v>
      </c>
      <c r="F126" s="27">
        <f>VLOOKUP(D126,'Org Setup'!A:D,4,0)</f>
        <v>5.0999999999999996</v>
      </c>
    </row>
    <row r="127" spans="1:8" hidden="1" x14ac:dyDescent="0.3">
      <c r="A127" s="6">
        <v>1016751304</v>
      </c>
      <c r="B127" s="6">
        <f t="shared" si="1"/>
        <v>1</v>
      </c>
      <c r="C127" s="7" t="s">
        <v>163</v>
      </c>
      <c r="D127" s="3" t="s">
        <v>210</v>
      </c>
      <c r="E127" s="3" t="str">
        <f>VLOOKUP(D127,'Org Setup'!A:B,2,0)</f>
        <v>GS (1)</v>
      </c>
      <c r="F127" s="27">
        <f>VLOOKUP(D127,'Org Setup'!A:D,4,0)</f>
        <v>5.0999999999999996</v>
      </c>
      <c r="G127" s="7"/>
      <c r="H127" s="7"/>
    </row>
    <row r="128" spans="1:8" hidden="1" x14ac:dyDescent="0.3">
      <c r="A128" s="6">
        <v>1016716504</v>
      </c>
      <c r="B128" s="6">
        <f t="shared" si="1"/>
        <v>1</v>
      </c>
      <c r="C128" s="7" t="s">
        <v>163</v>
      </c>
      <c r="D128" s="3" t="s">
        <v>210</v>
      </c>
      <c r="E128" s="3" t="str">
        <f>VLOOKUP(D128,'Org Setup'!A:B,2,0)</f>
        <v>GS (1)</v>
      </c>
      <c r="F128" s="27">
        <f>VLOOKUP(D128,'Org Setup'!A:D,4,0)</f>
        <v>5.0999999999999996</v>
      </c>
    </row>
    <row r="129" spans="1:8" hidden="1" x14ac:dyDescent="0.3">
      <c r="A129" s="6">
        <v>1016026108</v>
      </c>
      <c r="B129" s="6">
        <f t="shared" si="1"/>
        <v>1</v>
      </c>
      <c r="C129" s="7" t="s">
        <v>163</v>
      </c>
      <c r="D129" s="3" t="s">
        <v>210</v>
      </c>
      <c r="E129" s="3" t="str">
        <f>VLOOKUP(D129,'Org Setup'!A:B,2,0)</f>
        <v>GS (1)</v>
      </c>
      <c r="F129" s="27">
        <f>VLOOKUP(D129,'Org Setup'!A:D,4,0)</f>
        <v>5.0999999999999996</v>
      </c>
      <c r="G129" s="7"/>
      <c r="H129" s="7"/>
    </row>
    <row r="130" spans="1:8" hidden="1" x14ac:dyDescent="0.3">
      <c r="A130" s="6">
        <v>1015938910</v>
      </c>
      <c r="B130" s="6">
        <f t="shared" si="1"/>
        <v>1</v>
      </c>
      <c r="C130" s="7" t="s">
        <v>163</v>
      </c>
      <c r="D130" s="3" t="s">
        <v>210</v>
      </c>
      <c r="E130" s="3" t="str">
        <f>VLOOKUP(D130,'Org Setup'!A:B,2,0)</f>
        <v>GS (1)</v>
      </c>
      <c r="F130" s="27">
        <f>VLOOKUP(D130,'Org Setup'!A:D,4,0)</f>
        <v>5.0999999999999996</v>
      </c>
    </row>
    <row r="131" spans="1:8" hidden="1" x14ac:dyDescent="0.3">
      <c r="A131" s="6">
        <v>1015690608</v>
      </c>
      <c r="B131" s="6">
        <f t="shared" ref="B131:B194" si="2">COUNTIF(A$2:A$211,A131)</f>
        <v>1</v>
      </c>
      <c r="C131" s="7" t="s">
        <v>163</v>
      </c>
      <c r="D131" s="3" t="s">
        <v>210</v>
      </c>
      <c r="E131" s="3" t="str">
        <f>VLOOKUP(D131,'Org Setup'!A:B,2,0)</f>
        <v>GS (1)</v>
      </c>
      <c r="F131" s="27">
        <f>VLOOKUP(D131,'Org Setup'!A:D,4,0)</f>
        <v>5.0999999999999996</v>
      </c>
    </row>
    <row r="132" spans="1:8" hidden="1" x14ac:dyDescent="0.3">
      <c r="A132" s="6">
        <v>1015104905</v>
      </c>
      <c r="B132" s="6">
        <f t="shared" si="2"/>
        <v>1</v>
      </c>
      <c r="C132" s="7" t="s">
        <v>163</v>
      </c>
      <c r="D132" s="3" t="s">
        <v>210</v>
      </c>
      <c r="E132" s="3" t="str">
        <f>VLOOKUP(D132,'Org Setup'!A:B,2,0)</f>
        <v>GS (1)</v>
      </c>
      <c r="F132" s="27">
        <f>VLOOKUP(D132,'Org Setup'!A:D,4,0)</f>
        <v>5.0999999999999996</v>
      </c>
      <c r="G132" s="7"/>
      <c r="H132" s="7"/>
    </row>
    <row r="133" spans="1:8" hidden="1" x14ac:dyDescent="0.3">
      <c r="A133" s="6">
        <v>1015099310</v>
      </c>
      <c r="B133" s="6">
        <f t="shared" si="2"/>
        <v>1</v>
      </c>
      <c r="C133" s="7" t="s">
        <v>163</v>
      </c>
      <c r="D133" s="3" t="s">
        <v>210</v>
      </c>
      <c r="E133" s="3" t="str">
        <f>VLOOKUP(D133,'Org Setup'!A:B,2,0)</f>
        <v>GS (1)</v>
      </c>
      <c r="F133" s="27">
        <f>VLOOKUP(D133,'Org Setup'!A:D,4,0)</f>
        <v>5.0999999999999996</v>
      </c>
    </row>
    <row r="134" spans="1:8" hidden="1" x14ac:dyDescent="0.3">
      <c r="A134" s="6">
        <v>1015097306</v>
      </c>
      <c r="B134" s="6">
        <f t="shared" si="2"/>
        <v>1</v>
      </c>
      <c r="C134" s="7" t="s">
        <v>163</v>
      </c>
      <c r="D134" s="3" t="s">
        <v>210</v>
      </c>
      <c r="E134" s="3" t="str">
        <f>VLOOKUP(D134,'Org Setup'!A:B,2,0)</f>
        <v>GS (1)</v>
      </c>
      <c r="F134" s="27">
        <f>VLOOKUP(D134,'Org Setup'!A:D,4,0)</f>
        <v>5.0999999999999996</v>
      </c>
    </row>
    <row r="135" spans="1:8" hidden="1" x14ac:dyDescent="0.3">
      <c r="A135" s="6">
        <v>1015093107</v>
      </c>
      <c r="B135" s="6">
        <f t="shared" si="2"/>
        <v>1</v>
      </c>
      <c r="C135" s="7" t="s">
        <v>163</v>
      </c>
      <c r="D135" s="3" t="s">
        <v>210</v>
      </c>
      <c r="E135" s="3" t="str">
        <f>VLOOKUP(D135,'Org Setup'!A:B,2,0)</f>
        <v>GS (1)</v>
      </c>
      <c r="F135" s="27">
        <f>VLOOKUP(D135,'Org Setup'!A:D,4,0)</f>
        <v>5.0999999999999996</v>
      </c>
    </row>
    <row r="136" spans="1:8" hidden="1" x14ac:dyDescent="0.3">
      <c r="A136" s="6">
        <v>1015090000</v>
      </c>
      <c r="B136" s="6">
        <f t="shared" si="2"/>
        <v>1</v>
      </c>
      <c r="C136" s="7" t="s">
        <v>163</v>
      </c>
      <c r="D136" s="3" t="s">
        <v>210</v>
      </c>
      <c r="E136" s="3" t="str">
        <f>VLOOKUP(D136,'Org Setup'!A:B,2,0)</f>
        <v>GS (1)</v>
      </c>
      <c r="F136" s="27">
        <f>VLOOKUP(D136,'Org Setup'!A:D,4,0)</f>
        <v>5.0999999999999996</v>
      </c>
    </row>
    <row r="137" spans="1:8" hidden="1" x14ac:dyDescent="0.3">
      <c r="A137" s="6">
        <v>1014979605</v>
      </c>
      <c r="B137" s="6">
        <f t="shared" si="2"/>
        <v>1</v>
      </c>
      <c r="C137" s="7" t="s">
        <v>163</v>
      </c>
      <c r="D137" s="3" t="s">
        <v>210</v>
      </c>
      <c r="E137" s="3" t="str">
        <f>VLOOKUP(D137,'Org Setup'!A:B,2,0)</f>
        <v>GS (1)</v>
      </c>
      <c r="F137" s="27">
        <f>VLOOKUP(D137,'Org Setup'!A:D,4,0)</f>
        <v>5.0999999999999996</v>
      </c>
    </row>
    <row r="138" spans="1:8" hidden="1" x14ac:dyDescent="0.3">
      <c r="A138" s="6">
        <v>1014972703</v>
      </c>
      <c r="B138" s="6">
        <f t="shared" si="2"/>
        <v>1</v>
      </c>
      <c r="C138" s="7" t="s">
        <v>163</v>
      </c>
      <c r="D138" s="3" t="s">
        <v>210</v>
      </c>
      <c r="E138" s="3" t="str">
        <f>VLOOKUP(D138,'Org Setup'!A:B,2,0)</f>
        <v>GS (1)</v>
      </c>
      <c r="F138" s="27">
        <f>VLOOKUP(D138,'Org Setup'!A:D,4,0)</f>
        <v>5.0999999999999996</v>
      </c>
    </row>
    <row r="139" spans="1:8" hidden="1" x14ac:dyDescent="0.3">
      <c r="A139" s="6">
        <v>1014964109</v>
      </c>
      <c r="B139" s="6">
        <f t="shared" si="2"/>
        <v>1</v>
      </c>
      <c r="C139" s="7" t="s">
        <v>163</v>
      </c>
      <c r="D139" s="3" t="s">
        <v>210</v>
      </c>
      <c r="E139" s="3" t="str">
        <f>VLOOKUP(D139,'Org Setup'!A:B,2,0)</f>
        <v>GS (1)</v>
      </c>
      <c r="F139" s="27">
        <f>VLOOKUP(D139,'Org Setup'!A:D,4,0)</f>
        <v>5.0999999999999996</v>
      </c>
    </row>
    <row r="140" spans="1:8" hidden="1" x14ac:dyDescent="0.3">
      <c r="A140" s="6">
        <v>1014924007</v>
      </c>
      <c r="B140" s="6">
        <f t="shared" si="2"/>
        <v>1</v>
      </c>
      <c r="C140" s="7" t="s">
        <v>163</v>
      </c>
      <c r="D140" s="3" t="s">
        <v>210</v>
      </c>
      <c r="E140" s="3" t="str">
        <f>VLOOKUP(D140,'Org Setup'!A:B,2,0)</f>
        <v>GS (1)</v>
      </c>
      <c r="F140" s="27">
        <f>VLOOKUP(D140,'Org Setup'!A:D,4,0)</f>
        <v>5.0999999999999996</v>
      </c>
    </row>
    <row r="141" spans="1:8" hidden="1" x14ac:dyDescent="0.3">
      <c r="A141" s="6">
        <v>1014625109</v>
      </c>
      <c r="B141" s="6">
        <f t="shared" si="2"/>
        <v>1</v>
      </c>
      <c r="C141" s="7" t="s">
        <v>163</v>
      </c>
      <c r="D141" s="3" t="s">
        <v>210</v>
      </c>
      <c r="E141" s="3" t="str">
        <f>VLOOKUP(D141,'Org Setup'!A:B,2,0)</f>
        <v>GS (1)</v>
      </c>
      <c r="F141" s="27">
        <f>VLOOKUP(D141,'Org Setup'!A:D,4,0)</f>
        <v>5.0999999999999996</v>
      </c>
    </row>
    <row r="142" spans="1:8" hidden="1" x14ac:dyDescent="0.3">
      <c r="A142" s="6">
        <v>1014612706</v>
      </c>
      <c r="B142" s="6">
        <f t="shared" si="2"/>
        <v>1</v>
      </c>
      <c r="C142" s="7" t="s">
        <v>163</v>
      </c>
      <c r="D142" s="3" t="s">
        <v>210</v>
      </c>
      <c r="E142" s="3" t="str">
        <f>VLOOKUP(D142,'Org Setup'!A:B,2,0)</f>
        <v>GS (1)</v>
      </c>
      <c r="F142" s="27">
        <f>VLOOKUP(D142,'Org Setup'!A:D,4,0)</f>
        <v>5.0999999999999996</v>
      </c>
    </row>
    <row r="143" spans="1:8" hidden="1" x14ac:dyDescent="0.3">
      <c r="A143" s="6">
        <v>1014446109</v>
      </c>
      <c r="B143" s="6">
        <f t="shared" si="2"/>
        <v>1</v>
      </c>
      <c r="C143" s="7" t="s">
        <v>163</v>
      </c>
      <c r="D143" s="3" t="s">
        <v>210</v>
      </c>
      <c r="E143" s="3" t="str">
        <f>VLOOKUP(D143,'Org Setup'!A:B,2,0)</f>
        <v>GS (1)</v>
      </c>
      <c r="F143" s="27">
        <f>VLOOKUP(D143,'Org Setup'!A:D,4,0)</f>
        <v>5.0999999999999996</v>
      </c>
    </row>
    <row r="144" spans="1:8" hidden="1" x14ac:dyDescent="0.3">
      <c r="A144" s="6">
        <v>1014361909</v>
      </c>
      <c r="B144" s="6">
        <f t="shared" si="2"/>
        <v>1</v>
      </c>
      <c r="C144" s="7" t="s">
        <v>163</v>
      </c>
      <c r="D144" s="3" t="s">
        <v>210</v>
      </c>
      <c r="E144" s="3" t="str">
        <f>VLOOKUP(D144,'Org Setup'!A:B,2,0)</f>
        <v>GS (1)</v>
      </c>
      <c r="F144" s="27">
        <f>VLOOKUP(D144,'Org Setup'!A:D,4,0)</f>
        <v>5.0999999999999996</v>
      </c>
    </row>
    <row r="145" spans="1:6" hidden="1" x14ac:dyDescent="0.3">
      <c r="A145" s="6">
        <v>1014267210</v>
      </c>
      <c r="B145" s="6">
        <f t="shared" si="2"/>
        <v>1</v>
      </c>
      <c r="C145" s="7" t="s">
        <v>163</v>
      </c>
      <c r="D145" s="3" t="s">
        <v>210</v>
      </c>
      <c r="E145" s="3" t="str">
        <f>VLOOKUP(D145,'Org Setup'!A:B,2,0)</f>
        <v>GS (1)</v>
      </c>
      <c r="F145" s="27">
        <f>VLOOKUP(D145,'Org Setup'!A:D,4,0)</f>
        <v>5.0999999999999996</v>
      </c>
    </row>
    <row r="146" spans="1:6" hidden="1" x14ac:dyDescent="0.3">
      <c r="A146" s="6">
        <v>1014090702</v>
      </c>
      <c r="B146" s="6">
        <f t="shared" si="2"/>
        <v>1</v>
      </c>
      <c r="C146" s="7" t="s">
        <v>163</v>
      </c>
      <c r="D146" s="3" t="s">
        <v>210</v>
      </c>
      <c r="E146" s="3" t="str">
        <f>VLOOKUP(D146,'Org Setup'!A:B,2,0)</f>
        <v>GS (1)</v>
      </c>
      <c r="F146" s="27">
        <f>VLOOKUP(D146,'Org Setup'!A:D,4,0)</f>
        <v>5.0999999999999996</v>
      </c>
    </row>
    <row r="147" spans="1:6" hidden="1" x14ac:dyDescent="0.3">
      <c r="A147" s="6">
        <v>1013869110</v>
      </c>
      <c r="B147" s="6">
        <f t="shared" si="2"/>
        <v>1</v>
      </c>
      <c r="C147" s="7" t="s">
        <v>163</v>
      </c>
      <c r="D147" s="3" t="s">
        <v>210</v>
      </c>
      <c r="E147" s="3" t="str">
        <f>VLOOKUP(D147,'Org Setup'!A:B,2,0)</f>
        <v>GS (1)</v>
      </c>
      <c r="F147" s="27">
        <f>VLOOKUP(D147,'Org Setup'!A:D,4,0)</f>
        <v>5.0999999999999996</v>
      </c>
    </row>
    <row r="148" spans="1:6" hidden="1" x14ac:dyDescent="0.3">
      <c r="A148" s="6">
        <v>1013858307</v>
      </c>
      <c r="B148" s="6">
        <f t="shared" si="2"/>
        <v>1</v>
      </c>
      <c r="C148" s="7" t="s">
        <v>163</v>
      </c>
      <c r="D148" s="3" t="s">
        <v>210</v>
      </c>
      <c r="E148" s="3" t="str">
        <f>VLOOKUP(D148,'Org Setup'!A:B,2,0)</f>
        <v>GS (1)</v>
      </c>
      <c r="F148" s="27">
        <f>VLOOKUP(D148,'Org Setup'!A:D,4,0)</f>
        <v>5.0999999999999996</v>
      </c>
    </row>
    <row r="149" spans="1:6" hidden="1" x14ac:dyDescent="0.3">
      <c r="A149" s="6">
        <v>1013799104</v>
      </c>
      <c r="B149" s="6">
        <f t="shared" si="2"/>
        <v>1</v>
      </c>
      <c r="C149" s="7" t="s">
        <v>163</v>
      </c>
      <c r="D149" s="3" t="s">
        <v>210</v>
      </c>
      <c r="E149" s="3" t="str">
        <f>VLOOKUP(D149,'Org Setup'!A:B,2,0)</f>
        <v>GS (1)</v>
      </c>
      <c r="F149" s="27">
        <f>VLOOKUP(D149,'Org Setup'!A:D,4,0)</f>
        <v>5.0999999999999996</v>
      </c>
    </row>
    <row r="150" spans="1:6" hidden="1" x14ac:dyDescent="0.3">
      <c r="A150" s="6">
        <v>1013631503</v>
      </c>
      <c r="B150" s="6">
        <f t="shared" si="2"/>
        <v>1</v>
      </c>
      <c r="C150" s="7" t="s">
        <v>163</v>
      </c>
      <c r="D150" s="3" t="s">
        <v>210</v>
      </c>
      <c r="E150" s="3" t="str">
        <f>VLOOKUP(D150,'Org Setup'!A:B,2,0)</f>
        <v>GS (1)</v>
      </c>
      <c r="F150" s="27">
        <f>VLOOKUP(D150,'Org Setup'!A:D,4,0)</f>
        <v>5.0999999999999996</v>
      </c>
    </row>
    <row r="151" spans="1:6" hidden="1" x14ac:dyDescent="0.3">
      <c r="A151" s="6">
        <v>1013544205</v>
      </c>
      <c r="B151" s="6">
        <f t="shared" si="2"/>
        <v>1</v>
      </c>
      <c r="C151" s="7" t="s">
        <v>163</v>
      </c>
      <c r="D151" s="3" t="s">
        <v>210</v>
      </c>
      <c r="E151" s="3" t="str">
        <f>VLOOKUP(D151,'Org Setup'!A:B,2,0)</f>
        <v>GS (1)</v>
      </c>
      <c r="F151" s="27">
        <f>VLOOKUP(D151,'Org Setup'!A:D,4,0)</f>
        <v>5.0999999999999996</v>
      </c>
    </row>
    <row r="152" spans="1:6" hidden="1" x14ac:dyDescent="0.3">
      <c r="A152" s="6">
        <v>1013362109</v>
      </c>
      <c r="B152" s="6">
        <f t="shared" si="2"/>
        <v>1</v>
      </c>
      <c r="C152" s="7" t="s">
        <v>163</v>
      </c>
      <c r="D152" s="3" t="s">
        <v>210</v>
      </c>
      <c r="E152" s="3" t="str">
        <f>VLOOKUP(D152,'Org Setup'!A:B,2,0)</f>
        <v>GS (1)</v>
      </c>
      <c r="F152" s="27">
        <f>VLOOKUP(D152,'Org Setup'!A:D,4,0)</f>
        <v>5.0999999999999996</v>
      </c>
    </row>
    <row r="153" spans="1:6" hidden="1" x14ac:dyDescent="0.3">
      <c r="A153" s="6">
        <v>1013086605</v>
      </c>
      <c r="B153" s="6">
        <f t="shared" si="2"/>
        <v>1</v>
      </c>
      <c r="C153" s="7" t="s">
        <v>163</v>
      </c>
      <c r="D153" s="3" t="s">
        <v>210</v>
      </c>
      <c r="E153" s="3" t="str">
        <f>VLOOKUP(D153,'Org Setup'!A:B,2,0)</f>
        <v>GS (1)</v>
      </c>
      <c r="F153" s="27">
        <f>VLOOKUP(D153,'Org Setup'!A:D,4,0)</f>
        <v>5.0999999999999996</v>
      </c>
    </row>
    <row r="154" spans="1:6" hidden="1" x14ac:dyDescent="0.3">
      <c r="A154" s="6">
        <v>1012815003</v>
      </c>
      <c r="B154" s="6">
        <f t="shared" si="2"/>
        <v>1</v>
      </c>
      <c r="C154" s="7" t="s">
        <v>163</v>
      </c>
      <c r="D154" s="3" t="s">
        <v>210</v>
      </c>
      <c r="E154" s="3" t="str">
        <f>VLOOKUP(D154,'Org Setup'!A:B,2,0)</f>
        <v>GS (1)</v>
      </c>
      <c r="F154" s="27">
        <f>VLOOKUP(D154,'Org Setup'!A:D,4,0)</f>
        <v>5.0999999999999996</v>
      </c>
    </row>
    <row r="155" spans="1:6" hidden="1" x14ac:dyDescent="0.3">
      <c r="A155" s="6">
        <v>1012677500</v>
      </c>
      <c r="B155" s="6">
        <f t="shared" si="2"/>
        <v>1</v>
      </c>
      <c r="C155" s="7" t="s">
        <v>163</v>
      </c>
      <c r="D155" s="3" t="s">
        <v>210</v>
      </c>
      <c r="E155" s="3" t="str">
        <f>VLOOKUP(D155,'Org Setup'!A:B,2,0)</f>
        <v>GS (1)</v>
      </c>
      <c r="F155" s="27">
        <f>VLOOKUP(D155,'Org Setup'!A:D,4,0)</f>
        <v>5.0999999999999996</v>
      </c>
    </row>
    <row r="156" spans="1:6" hidden="1" x14ac:dyDescent="0.3">
      <c r="A156" s="6">
        <v>1012675507</v>
      </c>
      <c r="B156" s="6">
        <f t="shared" si="2"/>
        <v>1</v>
      </c>
      <c r="C156" s="7" t="s">
        <v>163</v>
      </c>
      <c r="D156" s="3" t="s">
        <v>210</v>
      </c>
      <c r="E156" s="3" t="str">
        <f>VLOOKUP(D156,'Org Setup'!A:B,2,0)</f>
        <v>GS (1)</v>
      </c>
      <c r="F156" s="27">
        <f>VLOOKUP(D156,'Org Setup'!A:D,4,0)</f>
        <v>5.0999999999999996</v>
      </c>
    </row>
    <row r="157" spans="1:6" hidden="1" x14ac:dyDescent="0.3">
      <c r="A157" s="6">
        <v>1011926108</v>
      </c>
      <c r="B157" s="6">
        <f t="shared" si="2"/>
        <v>1</v>
      </c>
      <c r="C157" s="7" t="s">
        <v>163</v>
      </c>
      <c r="D157" s="3" t="s">
        <v>210</v>
      </c>
      <c r="E157" s="3" t="str">
        <f>VLOOKUP(D157,'Org Setup'!A:B,2,0)</f>
        <v>GS (1)</v>
      </c>
      <c r="F157" s="27">
        <f>VLOOKUP(D157,'Org Setup'!A:D,4,0)</f>
        <v>5.0999999999999996</v>
      </c>
    </row>
    <row r="158" spans="1:6" hidden="1" x14ac:dyDescent="0.3">
      <c r="A158" s="6">
        <v>1011902902</v>
      </c>
      <c r="B158" s="6">
        <f t="shared" si="2"/>
        <v>1</v>
      </c>
      <c r="C158" s="7" t="s">
        <v>163</v>
      </c>
      <c r="D158" s="3" t="s">
        <v>210</v>
      </c>
      <c r="E158" s="3" t="str">
        <f>VLOOKUP(D158,'Org Setup'!A:B,2,0)</f>
        <v>GS (1)</v>
      </c>
      <c r="F158" s="27">
        <f>VLOOKUP(D158,'Org Setup'!A:D,4,0)</f>
        <v>5.0999999999999996</v>
      </c>
    </row>
    <row r="159" spans="1:6" x14ac:dyDescent="0.3">
      <c r="A159" s="6">
        <v>1010568709</v>
      </c>
      <c r="B159" s="6">
        <f t="shared" si="2"/>
        <v>1</v>
      </c>
      <c r="C159" s="7" t="s">
        <v>240</v>
      </c>
      <c r="D159" s="3" t="s">
        <v>294</v>
      </c>
      <c r="E159" s="3" t="str">
        <f>VLOOKUP(D159,'Org Setup'!A:B,2,0)</f>
        <v>GS (1)</v>
      </c>
      <c r="F159" s="27">
        <f>VLOOKUP(D159,'Org Setup'!A:D,4,0)</f>
        <v>5.0999999999999996</v>
      </c>
    </row>
    <row r="160" spans="1:6" x14ac:dyDescent="0.3">
      <c r="A160" s="6">
        <v>1010541004</v>
      </c>
      <c r="B160" s="6">
        <f t="shared" si="2"/>
        <v>1</v>
      </c>
      <c r="C160" s="7" t="s">
        <v>240</v>
      </c>
      <c r="D160" s="3" t="s">
        <v>294</v>
      </c>
      <c r="E160" s="3" t="str">
        <f>VLOOKUP(D160,'Org Setup'!A:B,2,0)</f>
        <v>GS (1)</v>
      </c>
      <c r="F160" s="27">
        <f>VLOOKUP(D160,'Org Setup'!A:D,4,0)</f>
        <v>5.0999999999999996</v>
      </c>
    </row>
    <row r="161" spans="1:8" x14ac:dyDescent="0.3">
      <c r="A161" s="6">
        <v>1010436804</v>
      </c>
      <c r="B161" s="6">
        <f t="shared" si="2"/>
        <v>1</v>
      </c>
      <c r="C161" s="7" t="s">
        <v>240</v>
      </c>
      <c r="D161" s="3" t="s">
        <v>294</v>
      </c>
      <c r="E161" s="3" t="str">
        <f>VLOOKUP(D161,'Org Setup'!A:B,2,0)</f>
        <v>GS (1)</v>
      </c>
      <c r="F161" s="27">
        <f>VLOOKUP(D161,'Org Setup'!A:D,4,0)</f>
        <v>5.0999999999999996</v>
      </c>
    </row>
    <row r="162" spans="1:8" x14ac:dyDescent="0.3">
      <c r="A162" s="6">
        <v>1010375305</v>
      </c>
      <c r="B162" s="6">
        <f t="shared" si="2"/>
        <v>1</v>
      </c>
      <c r="C162" s="7" t="s">
        <v>240</v>
      </c>
      <c r="D162" s="3" t="s">
        <v>294</v>
      </c>
      <c r="E162" s="3" t="str">
        <f>VLOOKUP(D162,'Org Setup'!A:B,2,0)</f>
        <v>GS (1)</v>
      </c>
      <c r="F162" s="27">
        <f>VLOOKUP(D162,'Org Setup'!A:D,4,0)</f>
        <v>5.0999999999999996</v>
      </c>
    </row>
    <row r="163" spans="1:8" x14ac:dyDescent="0.3">
      <c r="A163" s="6">
        <v>1010327900</v>
      </c>
      <c r="B163" s="6">
        <f t="shared" si="2"/>
        <v>1</v>
      </c>
      <c r="C163" s="7" t="s">
        <v>240</v>
      </c>
      <c r="D163" s="3" t="s">
        <v>294</v>
      </c>
      <c r="E163" s="3" t="str">
        <f>VLOOKUP(D163,'Org Setup'!A:B,2,0)</f>
        <v>GS (1)</v>
      </c>
      <c r="F163" s="27">
        <f>VLOOKUP(D163,'Org Setup'!A:D,4,0)</f>
        <v>5.0999999999999996</v>
      </c>
    </row>
    <row r="164" spans="1:8" x14ac:dyDescent="0.3">
      <c r="A164" s="6">
        <v>1009880100</v>
      </c>
      <c r="B164" s="6">
        <f t="shared" si="2"/>
        <v>1</v>
      </c>
      <c r="C164" s="7" t="s">
        <v>240</v>
      </c>
      <c r="D164" s="3" t="s">
        <v>294</v>
      </c>
      <c r="E164" s="3" t="str">
        <f>VLOOKUP(D164,'Org Setup'!A:B,2,0)</f>
        <v>GS (1)</v>
      </c>
      <c r="F164" s="27">
        <f>VLOOKUP(D164,'Org Setup'!A:D,4,0)</f>
        <v>5.0999999999999996</v>
      </c>
    </row>
    <row r="165" spans="1:8" x14ac:dyDescent="0.3">
      <c r="A165" s="6">
        <v>1009868907</v>
      </c>
      <c r="B165" s="6">
        <f t="shared" si="2"/>
        <v>1</v>
      </c>
      <c r="C165" s="7" t="s">
        <v>240</v>
      </c>
      <c r="D165" s="3" t="s">
        <v>294</v>
      </c>
      <c r="E165" s="3" t="str">
        <f>VLOOKUP(D165,'Org Setup'!A:B,2,0)</f>
        <v>GS (1)</v>
      </c>
      <c r="F165" s="27">
        <f>VLOOKUP(D165,'Org Setup'!A:D,4,0)</f>
        <v>5.0999999999999996</v>
      </c>
    </row>
    <row r="166" spans="1:8" x14ac:dyDescent="0.3">
      <c r="A166" s="6">
        <v>1009848205</v>
      </c>
      <c r="B166" s="6">
        <f t="shared" si="2"/>
        <v>1</v>
      </c>
      <c r="C166" s="7" t="s">
        <v>240</v>
      </c>
      <c r="D166" s="3" t="s">
        <v>294</v>
      </c>
      <c r="E166" s="3" t="str">
        <f>VLOOKUP(D166,'Org Setup'!A:B,2,0)</f>
        <v>GS (1)</v>
      </c>
      <c r="F166" s="27">
        <f>VLOOKUP(D166,'Org Setup'!A:D,4,0)</f>
        <v>5.0999999999999996</v>
      </c>
    </row>
    <row r="167" spans="1:8" x14ac:dyDescent="0.3">
      <c r="A167" s="6">
        <v>1009806200</v>
      </c>
      <c r="B167" s="6">
        <f t="shared" si="2"/>
        <v>1</v>
      </c>
      <c r="C167" s="7" t="s">
        <v>240</v>
      </c>
      <c r="D167" s="3" t="s">
        <v>294</v>
      </c>
      <c r="E167" s="3" t="str">
        <f>VLOOKUP(D167,'Org Setup'!A:B,2,0)</f>
        <v>GS (1)</v>
      </c>
      <c r="F167" s="27">
        <f>VLOOKUP(D167,'Org Setup'!A:D,4,0)</f>
        <v>5.0999999999999996</v>
      </c>
    </row>
    <row r="168" spans="1:8" x14ac:dyDescent="0.3">
      <c r="A168" s="6">
        <v>1009802910</v>
      </c>
      <c r="B168" s="6">
        <f t="shared" si="2"/>
        <v>1</v>
      </c>
      <c r="C168" s="7" t="s">
        <v>240</v>
      </c>
      <c r="D168" s="3" t="s">
        <v>294</v>
      </c>
      <c r="E168" s="3" t="str">
        <f>VLOOKUP(D168,'Org Setup'!A:B,2,0)</f>
        <v>GS (1)</v>
      </c>
      <c r="F168" s="27">
        <f>VLOOKUP(D168,'Org Setup'!A:D,4,0)</f>
        <v>5.0999999999999996</v>
      </c>
    </row>
    <row r="169" spans="1:8" x14ac:dyDescent="0.3">
      <c r="A169" s="6">
        <v>1009783001</v>
      </c>
      <c r="B169" s="6">
        <f t="shared" si="2"/>
        <v>1</v>
      </c>
      <c r="C169" s="7" t="s">
        <v>240</v>
      </c>
      <c r="D169" s="3" t="s">
        <v>294</v>
      </c>
      <c r="E169" s="3" t="str">
        <f>VLOOKUP(D169,'Org Setup'!A:B,2,0)</f>
        <v>GS (1)</v>
      </c>
      <c r="F169" s="27">
        <f>VLOOKUP(D169,'Org Setup'!A:D,4,0)</f>
        <v>5.0999999999999996</v>
      </c>
    </row>
    <row r="170" spans="1:8" x14ac:dyDescent="0.3">
      <c r="A170" s="6">
        <v>1009733109</v>
      </c>
      <c r="B170" s="6">
        <f t="shared" si="2"/>
        <v>1</v>
      </c>
      <c r="C170" s="7" t="s">
        <v>240</v>
      </c>
      <c r="D170" s="3" t="s">
        <v>294</v>
      </c>
      <c r="E170" s="3" t="str">
        <f>VLOOKUP(D170,'Org Setup'!A:B,2,0)</f>
        <v>GS (1)</v>
      </c>
      <c r="F170" s="27">
        <f>VLOOKUP(D170,'Org Setup'!A:D,4,0)</f>
        <v>5.0999999999999996</v>
      </c>
    </row>
    <row r="171" spans="1:8" x14ac:dyDescent="0.3">
      <c r="A171" s="6">
        <v>1009703504</v>
      </c>
      <c r="B171" s="6">
        <f t="shared" si="2"/>
        <v>1</v>
      </c>
      <c r="C171" s="7" t="s">
        <v>240</v>
      </c>
      <c r="D171" s="3" t="s">
        <v>294</v>
      </c>
      <c r="E171" s="3" t="str">
        <f>VLOOKUP(D171,'Org Setup'!A:B,2,0)</f>
        <v>GS (1)</v>
      </c>
      <c r="F171" s="27">
        <f>VLOOKUP(D171,'Org Setup'!A:D,4,0)</f>
        <v>5.0999999999999996</v>
      </c>
      <c r="G171" s="39" t="s">
        <v>473</v>
      </c>
      <c r="H171" s="39" t="s">
        <v>403</v>
      </c>
    </row>
    <row r="172" spans="1:8" x14ac:dyDescent="0.3">
      <c r="A172" s="6">
        <v>1009693000</v>
      </c>
      <c r="B172" s="6">
        <f t="shared" si="2"/>
        <v>1</v>
      </c>
      <c r="C172" s="7" t="s">
        <v>240</v>
      </c>
      <c r="D172" s="3" t="s">
        <v>294</v>
      </c>
      <c r="E172" s="3" t="str">
        <f>VLOOKUP(D172,'Org Setup'!A:B,2,0)</f>
        <v>GS (1)</v>
      </c>
      <c r="F172" s="27">
        <f>VLOOKUP(D172,'Org Setup'!A:D,4,0)</f>
        <v>5.0999999999999996</v>
      </c>
      <c r="G172" s="7"/>
      <c r="H172" s="7"/>
    </row>
    <row r="173" spans="1:8" x14ac:dyDescent="0.3">
      <c r="A173" s="6">
        <v>1009692402</v>
      </c>
      <c r="B173" s="6">
        <f t="shared" si="2"/>
        <v>1</v>
      </c>
      <c r="C173" s="7" t="s">
        <v>240</v>
      </c>
      <c r="D173" s="3" t="s">
        <v>294</v>
      </c>
      <c r="E173" s="3" t="str">
        <f>VLOOKUP(D173,'Org Setup'!A:B,2,0)</f>
        <v>GS (1)</v>
      </c>
      <c r="F173" s="27">
        <f>VLOOKUP(D173,'Org Setup'!A:D,4,0)</f>
        <v>5.0999999999999996</v>
      </c>
      <c r="G173" s="24" t="s">
        <v>474</v>
      </c>
      <c r="H173" s="22" t="s">
        <v>407</v>
      </c>
    </row>
    <row r="174" spans="1:8" x14ac:dyDescent="0.3">
      <c r="A174" s="6">
        <v>1009659303</v>
      </c>
      <c r="B174" s="6">
        <f t="shared" si="2"/>
        <v>1</v>
      </c>
      <c r="C174" s="7" t="s">
        <v>240</v>
      </c>
      <c r="D174" s="3" t="s">
        <v>294</v>
      </c>
      <c r="E174" s="3" t="str">
        <f>VLOOKUP(D174,'Org Setup'!A:B,2,0)</f>
        <v>GS (1)</v>
      </c>
      <c r="F174" s="27">
        <f>VLOOKUP(D174,'Org Setup'!A:D,4,0)</f>
        <v>5.0999999999999996</v>
      </c>
      <c r="G174" s="21" t="s">
        <v>475</v>
      </c>
      <c r="H174" s="22" t="s">
        <v>405</v>
      </c>
    </row>
    <row r="175" spans="1:8" x14ac:dyDescent="0.3">
      <c r="A175" s="6">
        <v>1009565406</v>
      </c>
      <c r="B175" s="6">
        <f t="shared" si="2"/>
        <v>1</v>
      </c>
      <c r="C175" s="7" t="s">
        <v>240</v>
      </c>
      <c r="D175" s="3" t="s">
        <v>294</v>
      </c>
      <c r="E175" s="3" t="str">
        <f>VLOOKUP(D175,'Org Setup'!A:B,2,0)</f>
        <v>GS (1)</v>
      </c>
      <c r="F175" s="27">
        <v>3.1</v>
      </c>
      <c r="G175" s="36" t="s">
        <v>476</v>
      </c>
      <c r="H175" s="40" t="s">
        <v>409</v>
      </c>
    </row>
    <row r="176" spans="1:8" x14ac:dyDescent="0.3">
      <c r="A176" s="6">
        <v>1009563402</v>
      </c>
      <c r="B176" s="6">
        <f t="shared" si="2"/>
        <v>1</v>
      </c>
      <c r="C176" s="7" t="s">
        <v>240</v>
      </c>
      <c r="D176" s="3" t="s">
        <v>294</v>
      </c>
      <c r="E176" s="3" t="str">
        <f>VLOOKUP(D176,'Org Setup'!A:B,2,0)</f>
        <v>GS (1)</v>
      </c>
      <c r="F176" s="27">
        <f>VLOOKUP(D176,'Org Setup'!A:D,4,0)</f>
        <v>5.0999999999999996</v>
      </c>
      <c r="G176" s="36" t="s">
        <v>477</v>
      </c>
      <c r="H176" s="40" t="s">
        <v>416</v>
      </c>
    </row>
    <row r="177" spans="1:8" x14ac:dyDescent="0.3">
      <c r="A177" s="6">
        <v>1009558903</v>
      </c>
      <c r="B177" s="6">
        <f t="shared" si="2"/>
        <v>1</v>
      </c>
      <c r="C177" s="7" t="s">
        <v>240</v>
      </c>
      <c r="D177" s="3" t="s">
        <v>294</v>
      </c>
      <c r="E177" s="3" t="str">
        <f>VLOOKUP(D177,'Org Setup'!A:B,2,0)</f>
        <v>GS (1)</v>
      </c>
      <c r="F177" s="27">
        <f>VLOOKUP(D177,'Org Setup'!A:D,4,0)</f>
        <v>5.0999999999999996</v>
      </c>
      <c r="G177" s="36" t="s">
        <v>478</v>
      </c>
      <c r="H177" s="40" t="s">
        <v>399</v>
      </c>
    </row>
    <row r="178" spans="1:8" x14ac:dyDescent="0.3">
      <c r="A178" s="6">
        <v>1009556304</v>
      </c>
      <c r="B178" s="6">
        <f t="shared" si="2"/>
        <v>1</v>
      </c>
      <c r="C178" s="7" t="s">
        <v>240</v>
      </c>
      <c r="D178" s="3" t="s">
        <v>294</v>
      </c>
      <c r="E178" s="3" t="str">
        <f>VLOOKUP(D178,'Org Setup'!A:B,2,0)</f>
        <v>GS (1)</v>
      </c>
      <c r="F178" s="27">
        <f>VLOOKUP(D178,'Org Setup'!A:D,4,0)</f>
        <v>5.0999999999999996</v>
      </c>
      <c r="G178" s="36" t="s">
        <v>479</v>
      </c>
      <c r="H178" s="40" t="s">
        <v>417</v>
      </c>
    </row>
    <row r="179" spans="1:8" x14ac:dyDescent="0.3">
      <c r="A179" s="6">
        <v>1009553702</v>
      </c>
      <c r="B179" s="6">
        <f t="shared" si="2"/>
        <v>1</v>
      </c>
      <c r="C179" s="7" t="s">
        <v>240</v>
      </c>
      <c r="D179" s="3" t="s">
        <v>294</v>
      </c>
      <c r="E179" s="3" t="str">
        <f>VLOOKUP(D179,'Org Setup'!A:B,2,0)</f>
        <v>GS (1)</v>
      </c>
      <c r="F179" s="27">
        <f>VLOOKUP(D179,'Org Setup'!A:D,4,0)</f>
        <v>5.0999999999999996</v>
      </c>
      <c r="G179" s="36" t="s">
        <v>480</v>
      </c>
      <c r="H179" s="40" t="s">
        <v>401</v>
      </c>
    </row>
    <row r="180" spans="1:8" x14ac:dyDescent="0.3">
      <c r="A180" s="6">
        <v>1009486803</v>
      </c>
      <c r="B180" s="6">
        <f t="shared" si="2"/>
        <v>1</v>
      </c>
      <c r="C180" s="7" t="s">
        <v>240</v>
      </c>
      <c r="D180" s="3" t="s">
        <v>294</v>
      </c>
      <c r="E180" s="3" t="str">
        <f>VLOOKUP(D180,'Org Setup'!A:B,2,0)</f>
        <v>GS (1)</v>
      </c>
      <c r="F180" s="27">
        <f>VLOOKUP(D180,'Org Setup'!A:D,4,0)</f>
        <v>5.0999999999999996</v>
      </c>
      <c r="G180" s="36" t="s">
        <v>481</v>
      </c>
      <c r="H180" s="40" t="s">
        <v>414</v>
      </c>
    </row>
    <row r="181" spans="1:8" hidden="1" x14ac:dyDescent="0.3">
      <c r="A181" s="6">
        <v>1008484300</v>
      </c>
      <c r="B181" s="6">
        <f t="shared" si="2"/>
        <v>1</v>
      </c>
      <c r="C181" s="7" t="s">
        <v>163</v>
      </c>
      <c r="D181" s="3" t="s">
        <v>210</v>
      </c>
      <c r="E181" s="3" t="str">
        <f>VLOOKUP(D181,'Org Setup'!A:B,2,0)</f>
        <v>GS (1)</v>
      </c>
      <c r="F181" s="27">
        <f>VLOOKUP(D181,'Org Setup'!A:D,4,0)</f>
        <v>5.0999999999999996</v>
      </c>
    </row>
    <row r="182" spans="1:8" x14ac:dyDescent="0.3">
      <c r="A182" s="6">
        <v>1007848105</v>
      </c>
      <c r="B182" s="6">
        <f t="shared" si="2"/>
        <v>1</v>
      </c>
      <c r="C182" s="7" t="s">
        <v>240</v>
      </c>
      <c r="D182" s="3" t="s">
        <v>294</v>
      </c>
      <c r="E182" s="3" t="str">
        <f>VLOOKUP(D182,'Org Setup'!A:B,2,0)</f>
        <v>GS (1)</v>
      </c>
      <c r="F182" s="27">
        <f>VLOOKUP(D182,'Org Setup'!A:D,4,0)</f>
        <v>5.0999999999999996</v>
      </c>
    </row>
    <row r="183" spans="1:8" x14ac:dyDescent="0.3">
      <c r="A183" s="6">
        <v>1007827108</v>
      </c>
      <c r="B183" s="6">
        <f t="shared" si="2"/>
        <v>1</v>
      </c>
      <c r="C183" s="7" t="s">
        <v>240</v>
      </c>
      <c r="D183" s="3" t="s">
        <v>294</v>
      </c>
      <c r="E183" s="3" t="str">
        <f>VLOOKUP(D183,'Org Setup'!A:B,2,0)</f>
        <v>GS (1)</v>
      </c>
      <c r="F183" s="27">
        <f>VLOOKUP(D183,'Org Setup'!A:D,4,0)</f>
        <v>5.0999999999999996</v>
      </c>
    </row>
    <row r="184" spans="1:8" x14ac:dyDescent="0.3">
      <c r="A184" s="6">
        <v>1007807102</v>
      </c>
      <c r="B184" s="6">
        <f t="shared" si="2"/>
        <v>1</v>
      </c>
      <c r="C184" s="7" t="s">
        <v>240</v>
      </c>
      <c r="D184" s="3" t="s">
        <v>294</v>
      </c>
      <c r="E184" s="3" t="str">
        <f>VLOOKUP(D184,'Org Setup'!A:B,2,0)</f>
        <v>GS (1)</v>
      </c>
      <c r="F184" s="27">
        <f>VLOOKUP(D184,'Org Setup'!A:D,4,0)</f>
        <v>5.0999999999999996</v>
      </c>
    </row>
    <row r="185" spans="1:8" x14ac:dyDescent="0.3">
      <c r="A185" s="6">
        <v>1007745308</v>
      </c>
      <c r="B185" s="6">
        <f t="shared" si="2"/>
        <v>2</v>
      </c>
      <c r="C185" s="7" t="s">
        <v>240</v>
      </c>
      <c r="D185" s="3" t="s">
        <v>294</v>
      </c>
      <c r="E185" s="3" t="str">
        <f>VLOOKUP(D185,'Org Setup'!A:B,2,0)</f>
        <v>GS (1)</v>
      </c>
      <c r="F185" s="27">
        <f>VLOOKUP(D185,'Org Setup'!A:D,4,0)</f>
        <v>5.0999999999999996</v>
      </c>
    </row>
    <row r="186" spans="1:8" hidden="1" x14ac:dyDescent="0.3">
      <c r="A186" s="6">
        <v>1007745308</v>
      </c>
      <c r="B186" s="6">
        <f t="shared" si="2"/>
        <v>2</v>
      </c>
      <c r="C186" s="7" t="s">
        <v>163</v>
      </c>
      <c r="D186" s="3" t="s">
        <v>210</v>
      </c>
      <c r="E186" s="3" t="str">
        <f>VLOOKUP(D186,'Org Setup'!A:B,2,0)</f>
        <v>GS (1)</v>
      </c>
      <c r="F186" s="27">
        <f>VLOOKUP(D186,'Org Setup'!A:D,4,0)</f>
        <v>5.0999999999999996</v>
      </c>
    </row>
    <row r="187" spans="1:8" x14ac:dyDescent="0.3">
      <c r="A187" s="6">
        <v>1007717000</v>
      </c>
      <c r="B187" s="6">
        <f t="shared" si="2"/>
        <v>1</v>
      </c>
      <c r="C187" s="7" t="s">
        <v>240</v>
      </c>
      <c r="D187" s="3" t="s">
        <v>294</v>
      </c>
      <c r="E187" s="3" t="str">
        <f>VLOOKUP(D187,'Org Setup'!A:B,2,0)</f>
        <v>GS (1)</v>
      </c>
      <c r="F187" s="27">
        <f>VLOOKUP(D187,'Org Setup'!A:D,4,0)</f>
        <v>5.0999999999999996</v>
      </c>
    </row>
    <row r="188" spans="1:8" x14ac:dyDescent="0.3">
      <c r="A188" s="6">
        <v>1007686610</v>
      </c>
      <c r="B188" s="6">
        <f t="shared" si="2"/>
        <v>1</v>
      </c>
      <c r="C188" s="7" t="s">
        <v>240</v>
      </c>
      <c r="D188" s="3" t="s">
        <v>294</v>
      </c>
      <c r="E188" s="3" t="str">
        <f>VLOOKUP(D188,'Org Setup'!A:B,2,0)</f>
        <v>GS (1)</v>
      </c>
      <c r="F188" s="27">
        <f>VLOOKUP(D188,'Org Setup'!A:D,4,0)</f>
        <v>5.0999999999999996</v>
      </c>
      <c r="G188" s="7" t="s">
        <v>482</v>
      </c>
      <c r="H188" s="7" t="s">
        <v>483</v>
      </c>
    </row>
    <row r="189" spans="1:8" x14ac:dyDescent="0.3">
      <c r="A189" s="6">
        <v>1007682209</v>
      </c>
      <c r="B189" s="6">
        <f t="shared" si="2"/>
        <v>2</v>
      </c>
      <c r="C189" s="7" t="s">
        <v>240</v>
      </c>
      <c r="D189" s="3" t="s">
        <v>294</v>
      </c>
      <c r="E189" s="3" t="str">
        <f>VLOOKUP(D189,'Org Setup'!A:B,2,0)</f>
        <v>GS (1)</v>
      </c>
      <c r="F189" s="27">
        <f>VLOOKUP(D189,'Org Setup'!A:D,4,0)</f>
        <v>5.0999999999999996</v>
      </c>
    </row>
    <row r="190" spans="1:8" hidden="1" x14ac:dyDescent="0.3">
      <c r="A190" s="6">
        <v>1007682209</v>
      </c>
      <c r="B190" s="6">
        <f t="shared" si="2"/>
        <v>2</v>
      </c>
      <c r="C190" s="7" t="s">
        <v>163</v>
      </c>
      <c r="D190" s="3" t="s">
        <v>210</v>
      </c>
      <c r="E190" s="3" t="str">
        <f>VLOOKUP(D190,'Org Setup'!A:B,2,0)</f>
        <v>GS (1)</v>
      </c>
      <c r="F190" s="27">
        <f>VLOOKUP(D190,'Org Setup'!A:D,4,0)</f>
        <v>5.0999999999999996</v>
      </c>
    </row>
    <row r="191" spans="1:8" x14ac:dyDescent="0.3">
      <c r="A191" s="6">
        <v>1007615609</v>
      </c>
      <c r="B191" s="6">
        <f t="shared" si="2"/>
        <v>1</v>
      </c>
      <c r="C191" s="7" t="s">
        <v>240</v>
      </c>
      <c r="D191" s="3" t="s">
        <v>294</v>
      </c>
      <c r="E191" s="3" t="str">
        <f>VLOOKUP(D191,'Org Setup'!A:B,2,0)</f>
        <v>GS (1)</v>
      </c>
      <c r="F191" s="27">
        <f>VLOOKUP(D191,'Org Setup'!A:D,4,0)</f>
        <v>5.0999999999999996</v>
      </c>
    </row>
    <row r="192" spans="1:8" x14ac:dyDescent="0.3">
      <c r="A192" s="6">
        <v>1007597701</v>
      </c>
      <c r="B192" s="6">
        <f t="shared" si="2"/>
        <v>1</v>
      </c>
      <c r="C192" s="7" t="s">
        <v>240</v>
      </c>
      <c r="D192" s="3" t="s">
        <v>294</v>
      </c>
      <c r="E192" s="3" t="str">
        <f>VLOOKUP(D192,'Org Setup'!A:B,2,0)</f>
        <v>GS (1)</v>
      </c>
      <c r="F192" s="27">
        <f>VLOOKUP(D192,'Org Setup'!A:D,4,0)</f>
        <v>5.0999999999999996</v>
      </c>
    </row>
    <row r="193" spans="1:6" x14ac:dyDescent="0.3">
      <c r="A193" s="6">
        <v>1007581708</v>
      </c>
      <c r="B193" s="6">
        <f t="shared" si="2"/>
        <v>1</v>
      </c>
      <c r="C193" s="7" t="s">
        <v>240</v>
      </c>
      <c r="D193" s="3" t="s">
        <v>294</v>
      </c>
      <c r="E193" s="3" t="str">
        <f>VLOOKUP(D193,'Org Setup'!A:B,2,0)</f>
        <v>GS (1)</v>
      </c>
      <c r="F193" s="27">
        <f>VLOOKUP(D193,'Org Setup'!A:D,4,0)</f>
        <v>5.0999999999999996</v>
      </c>
    </row>
    <row r="194" spans="1:6" x14ac:dyDescent="0.3">
      <c r="A194" s="6">
        <v>1007563302</v>
      </c>
      <c r="B194" s="6">
        <f t="shared" si="2"/>
        <v>1</v>
      </c>
      <c r="C194" s="7" t="s">
        <v>240</v>
      </c>
      <c r="D194" s="3" t="s">
        <v>294</v>
      </c>
      <c r="E194" s="3" t="str">
        <f>VLOOKUP(D194,'Org Setup'!A:B,2,0)</f>
        <v>GS (1)</v>
      </c>
      <c r="F194" s="27">
        <f>VLOOKUP(D194,'Org Setup'!A:D,4,0)</f>
        <v>5.0999999999999996</v>
      </c>
    </row>
    <row r="195" spans="1:6" x14ac:dyDescent="0.3">
      <c r="A195" s="6">
        <v>1007478210</v>
      </c>
      <c r="B195" s="6">
        <f t="shared" ref="B195:B211" si="3">COUNTIF(A$2:A$211,A195)</f>
        <v>1</v>
      </c>
      <c r="C195" s="7" t="s">
        <v>240</v>
      </c>
      <c r="D195" s="3" t="s">
        <v>294</v>
      </c>
      <c r="E195" s="3" t="str">
        <f>VLOOKUP(D195,'Org Setup'!A:B,2,0)</f>
        <v>GS (1)</v>
      </c>
      <c r="F195" s="27">
        <f>VLOOKUP(D195,'Org Setup'!A:D,4,0)</f>
        <v>5.0999999999999996</v>
      </c>
    </row>
    <row r="196" spans="1:6" x14ac:dyDescent="0.3">
      <c r="A196" s="6">
        <v>1007424703</v>
      </c>
      <c r="B196" s="6">
        <f t="shared" si="3"/>
        <v>1</v>
      </c>
      <c r="C196" s="7" t="s">
        <v>240</v>
      </c>
      <c r="D196" s="3" t="s">
        <v>294</v>
      </c>
      <c r="E196" s="3" t="str">
        <f>VLOOKUP(D196,'Org Setup'!A:B,2,0)</f>
        <v>GS (1)</v>
      </c>
      <c r="F196" s="27">
        <f>VLOOKUP(D196,'Org Setup'!A:D,4,0)</f>
        <v>5.0999999999999996</v>
      </c>
    </row>
    <row r="197" spans="1:6" x14ac:dyDescent="0.3">
      <c r="A197" s="6">
        <v>1007417201</v>
      </c>
      <c r="B197" s="6">
        <f t="shared" si="3"/>
        <v>1</v>
      </c>
      <c r="C197" s="7" t="s">
        <v>240</v>
      </c>
      <c r="D197" s="3" t="s">
        <v>294</v>
      </c>
      <c r="E197" s="3" t="str">
        <f>VLOOKUP(D197,'Org Setup'!A:B,2,0)</f>
        <v>GS (1)</v>
      </c>
      <c r="F197" s="27">
        <f>VLOOKUP(D197,'Org Setup'!A:D,4,0)</f>
        <v>5.0999999999999996</v>
      </c>
    </row>
    <row r="198" spans="1:6" x14ac:dyDescent="0.3">
      <c r="A198" s="6">
        <v>1007403302</v>
      </c>
      <c r="B198" s="6">
        <f t="shared" si="3"/>
        <v>1</v>
      </c>
      <c r="C198" s="7" t="s">
        <v>240</v>
      </c>
      <c r="D198" s="3" t="s">
        <v>294</v>
      </c>
      <c r="E198" s="3" t="str">
        <f>VLOOKUP(D198,'Org Setup'!A:B,2,0)</f>
        <v>GS (1)</v>
      </c>
      <c r="F198" s="27">
        <f>VLOOKUP(D198,'Org Setup'!A:D,4,0)</f>
        <v>5.0999999999999996</v>
      </c>
    </row>
    <row r="199" spans="1:6" x14ac:dyDescent="0.3">
      <c r="A199" s="6">
        <v>1007372609</v>
      </c>
      <c r="B199" s="6">
        <f t="shared" si="3"/>
        <v>1</v>
      </c>
      <c r="C199" s="7" t="s">
        <v>240</v>
      </c>
      <c r="D199" s="3" t="s">
        <v>294</v>
      </c>
      <c r="E199" s="3" t="str">
        <f>VLOOKUP(D199,'Org Setup'!A:B,2,0)</f>
        <v>GS (1)</v>
      </c>
      <c r="F199" s="27">
        <f>VLOOKUP(D199,'Org Setup'!A:D,4,0)</f>
        <v>5.0999999999999996</v>
      </c>
    </row>
    <row r="200" spans="1:6" x14ac:dyDescent="0.3">
      <c r="A200" s="6">
        <v>1007364105</v>
      </c>
      <c r="B200" s="6">
        <f t="shared" si="3"/>
        <v>1</v>
      </c>
      <c r="C200" s="7" t="s">
        <v>240</v>
      </c>
      <c r="D200" s="3" t="s">
        <v>294</v>
      </c>
      <c r="E200" s="3" t="str">
        <f>VLOOKUP(D200,'Org Setup'!A:B,2,0)</f>
        <v>GS (1)</v>
      </c>
      <c r="F200" s="27">
        <f>VLOOKUP(D200,'Org Setup'!A:D,4,0)</f>
        <v>5.0999999999999996</v>
      </c>
    </row>
    <row r="201" spans="1:6" x14ac:dyDescent="0.3">
      <c r="A201" s="6">
        <v>1007358402</v>
      </c>
      <c r="B201" s="6">
        <f t="shared" si="3"/>
        <v>1</v>
      </c>
      <c r="C201" s="7" t="s">
        <v>240</v>
      </c>
      <c r="D201" s="3" t="s">
        <v>294</v>
      </c>
      <c r="E201" s="3" t="str">
        <f>VLOOKUP(D201,'Org Setup'!A:B,2,0)</f>
        <v>GS (1)</v>
      </c>
      <c r="F201" s="27">
        <f>VLOOKUP(D201,'Org Setup'!A:D,4,0)</f>
        <v>5.0999999999999996</v>
      </c>
    </row>
    <row r="202" spans="1:6" x14ac:dyDescent="0.3">
      <c r="A202" s="6">
        <v>1007307710</v>
      </c>
      <c r="B202" s="6">
        <f t="shared" si="3"/>
        <v>1</v>
      </c>
      <c r="C202" s="7" t="s">
        <v>240</v>
      </c>
      <c r="D202" s="3" t="s">
        <v>294</v>
      </c>
      <c r="E202" s="3" t="str">
        <f>VLOOKUP(D202,'Org Setup'!A:B,2,0)</f>
        <v>GS (1)</v>
      </c>
      <c r="F202" s="27">
        <f>VLOOKUP(D202,'Org Setup'!A:D,4,0)</f>
        <v>5.0999999999999996</v>
      </c>
    </row>
    <row r="203" spans="1:6" x14ac:dyDescent="0.3">
      <c r="A203" s="6">
        <v>1007289106</v>
      </c>
      <c r="B203" s="6">
        <f t="shared" si="3"/>
        <v>1</v>
      </c>
      <c r="C203" s="7" t="s">
        <v>240</v>
      </c>
      <c r="D203" s="3" t="s">
        <v>294</v>
      </c>
      <c r="E203" s="3" t="str">
        <f>VLOOKUP(D203,'Org Setup'!A:B,2,0)</f>
        <v>GS (1)</v>
      </c>
      <c r="F203" s="27">
        <f>VLOOKUP(D203,'Org Setup'!A:D,4,0)</f>
        <v>5.0999999999999996</v>
      </c>
    </row>
    <row r="204" spans="1:6" x14ac:dyDescent="0.3">
      <c r="A204" s="6">
        <v>1007261600</v>
      </c>
      <c r="B204" s="6">
        <f t="shared" si="3"/>
        <v>1</v>
      </c>
      <c r="C204" s="7" t="s">
        <v>240</v>
      </c>
      <c r="D204" s="3" t="s">
        <v>294</v>
      </c>
      <c r="E204" s="3" t="str">
        <f>VLOOKUP(D204,'Org Setup'!A:B,2,0)</f>
        <v>GS (1)</v>
      </c>
      <c r="F204" s="27">
        <f>VLOOKUP(D204,'Org Setup'!A:D,4,0)</f>
        <v>5.0999999999999996</v>
      </c>
    </row>
    <row r="205" spans="1:6" x14ac:dyDescent="0.3">
      <c r="A205" s="6">
        <v>1007237502</v>
      </c>
      <c r="B205" s="6">
        <f t="shared" si="3"/>
        <v>1</v>
      </c>
      <c r="C205" s="7" t="s">
        <v>240</v>
      </c>
      <c r="D205" s="3" t="s">
        <v>294</v>
      </c>
      <c r="E205" s="3" t="str">
        <f>VLOOKUP(D205,'Org Setup'!A:B,2,0)</f>
        <v>GS (1)</v>
      </c>
      <c r="F205" s="27">
        <f>VLOOKUP(D205,'Org Setup'!A:D,4,0)</f>
        <v>5.0999999999999996</v>
      </c>
    </row>
    <row r="206" spans="1:6" x14ac:dyDescent="0.3">
      <c r="A206" s="6">
        <v>1007010002</v>
      </c>
      <c r="B206" s="6">
        <f t="shared" si="3"/>
        <v>1</v>
      </c>
      <c r="C206" s="7" t="s">
        <v>240</v>
      </c>
      <c r="D206" s="3" t="s">
        <v>294</v>
      </c>
      <c r="E206" s="3" t="str">
        <f>VLOOKUP(D206,'Org Setup'!A:B,2,0)</f>
        <v>GS (1)</v>
      </c>
      <c r="F206" s="27">
        <f>VLOOKUP(D206,'Org Setup'!A:D,4,0)</f>
        <v>5.0999999999999996</v>
      </c>
    </row>
    <row r="207" spans="1:6" x14ac:dyDescent="0.3">
      <c r="A207" s="6">
        <v>1006978001</v>
      </c>
      <c r="B207" s="6">
        <f t="shared" si="3"/>
        <v>1</v>
      </c>
      <c r="C207" s="7" t="s">
        <v>240</v>
      </c>
      <c r="D207" s="3" t="s">
        <v>294</v>
      </c>
      <c r="E207" s="3" t="str">
        <f>VLOOKUP(D207,'Org Setup'!A:B,2,0)</f>
        <v>GS (1)</v>
      </c>
      <c r="F207" s="27">
        <f>VLOOKUP(D207,'Org Setup'!A:D,4,0)</f>
        <v>5.0999999999999996</v>
      </c>
    </row>
    <row r="208" spans="1:6" x14ac:dyDescent="0.3">
      <c r="A208" s="6">
        <v>1006795801</v>
      </c>
      <c r="B208" s="6">
        <f t="shared" si="3"/>
        <v>1</v>
      </c>
      <c r="C208" s="7" t="s">
        <v>240</v>
      </c>
      <c r="D208" s="3" t="s">
        <v>294</v>
      </c>
      <c r="E208" s="3" t="str">
        <f>VLOOKUP(D208,'Org Setup'!A:B,2,0)</f>
        <v>GS (1)</v>
      </c>
      <c r="F208" s="27">
        <f>VLOOKUP(D208,'Org Setup'!A:D,4,0)</f>
        <v>5.0999999999999996</v>
      </c>
    </row>
    <row r="209" spans="1:7" x14ac:dyDescent="0.3">
      <c r="A209" s="6">
        <v>1006772104</v>
      </c>
      <c r="B209" s="6">
        <f t="shared" si="3"/>
        <v>1</v>
      </c>
      <c r="C209" s="7" t="s">
        <v>240</v>
      </c>
      <c r="D209" s="3" t="s">
        <v>294</v>
      </c>
      <c r="E209" s="3" t="str">
        <f>VLOOKUP(D209,'Org Setup'!A:B,2,0)</f>
        <v>GS (1)</v>
      </c>
      <c r="F209" s="27">
        <f>VLOOKUP(D209,'Org Setup'!A:D,4,0)</f>
        <v>5.0999999999999996</v>
      </c>
    </row>
    <row r="210" spans="1:7" x14ac:dyDescent="0.3">
      <c r="A210" s="6">
        <v>1006753908</v>
      </c>
      <c r="B210" s="6">
        <f t="shared" si="3"/>
        <v>1</v>
      </c>
      <c r="C210" s="7" t="s">
        <v>240</v>
      </c>
      <c r="D210" s="3" t="s">
        <v>294</v>
      </c>
      <c r="E210" s="3" t="str">
        <f>VLOOKUP(D210,'Org Setup'!A:B,2,0)</f>
        <v>GS (1)</v>
      </c>
      <c r="F210" s="27">
        <f>VLOOKUP(D210,'Org Setup'!A:D,4,0)</f>
        <v>5.0999999999999996</v>
      </c>
    </row>
    <row r="211" spans="1:7" x14ac:dyDescent="0.3">
      <c r="A211" s="6">
        <v>1006537801</v>
      </c>
      <c r="B211" s="6">
        <f t="shared" si="3"/>
        <v>1</v>
      </c>
      <c r="C211" s="7" t="s">
        <v>240</v>
      </c>
      <c r="D211" s="3" t="s">
        <v>294</v>
      </c>
      <c r="E211" s="3" t="str">
        <f>VLOOKUP(D211,'Org Setup'!A:B,2,0)</f>
        <v>GS (1)</v>
      </c>
      <c r="F211" s="27">
        <f>VLOOKUP(D211,'Org Setup'!A:D,4,0)</f>
        <v>5.0999999999999996</v>
      </c>
      <c r="G211" t="s">
        <v>484</v>
      </c>
    </row>
  </sheetData>
  <autoFilter ref="A1:H211" xr:uid="{8FA705CA-38CB-4DFF-9E84-E8811DEB57A8}">
    <filterColumn colId="2">
      <filters>
        <filter val="UIT-B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6005-F147-41B4-BBC6-A192D4BA42E6}">
  <dimension ref="A1:H57"/>
  <sheetViews>
    <sheetView workbookViewId="0">
      <selection activeCell="C1" sqref="C1"/>
    </sheetView>
  </sheetViews>
  <sheetFormatPr defaultColWidth="6.44140625" defaultRowHeight="14.4" x14ac:dyDescent="0.3"/>
  <cols>
    <col min="1" max="1" width="11.44140625" style="9" customWidth="1"/>
    <col min="2" max="2" width="17.88671875" style="9" bestFit="1" customWidth="1"/>
    <col min="3" max="3" width="21.33203125" style="9" customWidth="1"/>
    <col min="4" max="4" width="9" style="9" bestFit="1" customWidth="1"/>
    <col min="5" max="5" width="11.88671875" style="9" customWidth="1"/>
    <col min="6" max="6" width="6.44140625" style="9"/>
    <col min="7" max="7" width="49.88671875" style="9" customWidth="1"/>
    <col min="8" max="8" width="68.88671875" style="9" customWidth="1"/>
    <col min="9" max="16384" width="6.44140625" style="9"/>
  </cols>
  <sheetData>
    <row r="1" spans="1:8" x14ac:dyDescent="0.3">
      <c r="A1" s="8" t="s">
        <v>485</v>
      </c>
      <c r="B1" s="8" t="s">
        <v>4</v>
      </c>
      <c r="C1" s="8" t="s">
        <v>486</v>
      </c>
      <c r="D1" s="8" t="s">
        <v>487</v>
      </c>
      <c r="E1" s="8" t="s">
        <v>488</v>
      </c>
      <c r="F1" s="8" t="s">
        <v>489</v>
      </c>
      <c r="G1" s="8" t="s">
        <v>490</v>
      </c>
      <c r="H1" s="8" t="s">
        <v>491</v>
      </c>
    </row>
    <row r="2" spans="1:8" x14ac:dyDescent="0.3">
      <c r="A2" s="11" t="s">
        <v>492</v>
      </c>
      <c r="B2" s="9" t="s">
        <v>493</v>
      </c>
      <c r="C2" s="10" t="s">
        <v>494</v>
      </c>
      <c r="D2" s="9" t="s">
        <v>495</v>
      </c>
      <c r="E2" s="10" t="s">
        <v>496</v>
      </c>
      <c r="F2" s="10"/>
      <c r="G2" s="10" t="s">
        <v>497</v>
      </c>
      <c r="H2" s="10" t="s">
        <v>498</v>
      </c>
    </row>
    <row r="3" spans="1:8" x14ac:dyDescent="0.3">
      <c r="A3" s="11" t="s">
        <v>499</v>
      </c>
      <c r="B3" s="9" t="s">
        <v>493</v>
      </c>
      <c r="C3" s="10" t="s">
        <v>494</v>
      </c>
      <c r="D3" s="9" t="s">
        <v>495</v>
      </c>
      <c r="E3" s="10" t="s">
        <v>496</v>
      </c>
      <c r="F3" s="10"/>
      <c r="G3" s="10" t="s">
        <v>500</v>
      </c>
      <c r="H3" s="10" t="s">
        <v>501</v>
      </c>
    </row>
    <row r="4" spans="1:8" x14ac:dyDescent="0.3">
      <c r="A4" s="11" t="s">
        <v>492</v>
      </c>
      <c r="B4" s="9" t="s">
        <v>493</v>
      </c>
      <c r="C4" s="10" t="s">
        <v>494</v>
      </c>
      <c r="D4" s="9" t="s">
        <v>495</v>
      </c>
      <c r="E4" s="10" t="s">
        <v>502</v>
      </c>
      <c r="F4" s="10"/>
      <c r="G4" s="10" t="s">
        <v>503</v>
      </c>
      <c r="H4" s="10" t="s">
        <v>504</v>
      </c>
    </row>
    <row r="5" spans="1:8" x14ac:dyDescent="0.3">
      <c r="A5" s="11" t="s">
        <v>499</v>
      </c>
      <c r="B5" s="9" t="s">
        <v>493</v>
      </c>
      <c r="C5" s="10" t="s">
        <v>494</v>
      </c>
      <c r="D5" s="9" t="s">
        <v>495</v>
      </c>
      <c r="E5" s="10" t="s">
        <v>502</v>
      </c>
      <c r="F5" s="10"/>
      <c r="G5" s="10" t="s">
        <v>505</v>
      </c>
      <c r="H5" s="10" t="s">
        <v>506</v>
      </c>
    </row>
    <row r="6" spans="1:8" x14ac:dyDescent="0.3">
      <c r="A6" s="13" t="s">
        <v>507</v>
      </c>
      <c r="B6" s="9" t="s">
        <v>493</v>
      </c>
      <c r="C6" s="10" t="s">
        <v>494</v>
      </c>
      <c r="D6" s="9" t="s">
        <v>495</v>
      </c>
      <c r="E6" s="10" t="s">
        <v>508</v>
      </c>
      <c r="F6" s="10"/>
      <c r="G6" s="12" t="s">
        <v>509</v>
      </c>
      <c r="H6" s="10" t="s">
        <v>510</v>
      </c>
    </row>
    <row r="7" spans="1:8" x14ac:dyDescent="0.3">
      <c r="A7" s="9" t="s">
        <v>511</v>
      </c>
      <c r="B7" s="9" t="s">
        <v>163</v>
      </c>
      <c r="C7" s="10" t="s">
        <v>512</v>
      </c>
      <c r="D7" s="9" t="s">
        <v>513</v>
      </c>
      <c r="E7" s="10" t="s">
        <v>514</v>
      </c>
      <c r="F7" s="10"/>
      <c r="G7" s="10" t="s">
        <v>515</v>
      </c>
      <c r="H7" s="10" t="s">
        <v>516</v>
      </c>
    </row>
    <row r="8" spans="1:8" x14ac:dyDescent="0.3">
      <c r="A8" s="9" t="s">
        <v>517</v>
      </c>
      <c r="B8" s="9" t="s">
        <v>163</v>
      </c>
      <c r="C8" s="10" t="s">
        <v>512</v>
      </c>
      <c r="D8" s="9" t="s">
        <v>513</v>
      </c>
      <c r="E8" s="10" t="s">
        <v>514</v>
      </c>
      <c r="F8" s="10">
        <v>22</v>
      </c>
      <c r="G8" s="10" t="s">
        <v>515</v>
      </c>
      <c r="H8" s="10" t="s">
        <v>518</v>
      </c>
    </row>
    <row r="9" spans="1:8" x14ac:dyDescent="0.3">
      <c r="A9" s="9" t="s">
        <v>519</v>
      </c>
      <c r="B9" s="9" t="s">
        <v>163</v>
      </c>
      <c r="C9" s="10" t="s">
        <v>512</v>
      </c>
      <c r="D9" s="9" t="s">
        <v>513</v>
      </c>
      <c r="E9" s="10" t="s">
        <v>514</v>
      </c>
      <c r="F9" s="10"/>
      <c r="G9" s="10" t="s">
        <v>520</v>
      </c>
      <c r="H9" s="10" t="s">
        <v>521</v>
      </c>
    </row>
    <row r="10" spans="1:8" x14ac:dyDescent="0.3">
      <c r="A10" s="9" t="s">
        <v>519</v>
      </c>
      <c r="B10" s="9" t="s">
        <v>163</v>
      </c>
      <c r="C10" s="10" t="s">
        <v>512</v>
      </c>
      <c r="D10" s="9" t="s">
        <v>513</v>
      </c>
      <c r="E10" s="10" t="s">
        <v>514</v>
      </c>
      <c r="F10" s="10"/>
      <c r="G10" s="10" t="s">
        <v>522</v>
      </c>
      <c r="H10" s="10" t="s">
        <v>523</v>
      </c>
    </row>
    <row r="11" spans="1:8" x14ac:dyDescent="0.3">
      <c r="A11" s="9" t="s">
        <v>511</v>
      </c>
      <c r="B11" s="9" t="s">
        <v>163</v>
      </c>
      <c r="C11" s="10" t="s">
        <v>524</v>
      </c>
      <c r="D11" s="9" t="s">
        <v>513</v>
      </c>
      <c r="E11" s="10" t="s">
        <v>525</v>
      </c>
      <c r="F11" s="10">
        <v>80</v>
      </c>
      <c r="G11" s="14" t="s">
        <v>526</v>
      </c>
      <c r="H11" s="10" t="s">
        <v>527</v>
      </c>
    </row>
    <row r="12" spans="1:8" x14ac:dyDescent="0.3">
      <c r="A12" s="11" t="s">
        <v>492</v>
      </c>
      <c r="B12" s="9" t="s">
        <v>240</v>
      </c>
      <c r="C12" s="10" t="s">
        <v>512</v>
      </c>
      <c r="D12" s="9" t="s">
        <v>495</v>
      </c>
      <c r="E12" s="10" t="s">
        <v>528</v>
      </c>
      <c r="F12" s="10"/>
      <c r="G12" s="10" t="s">
        <v>529</v>
      </c>
      <c r="H12" s="10" t="s">
        <v>516</v>
      </c>
    </row>
    <row r="13" spans="1:8" x14ac:dyDescent="0.3">
      <c r="A13" s="13" t="s">
        <v>530</v>
      </c>
      <c r="B13" s="9" t="s">
        <v>240</v>
      </c>
      <c r="C13" s="10" t="s">
        <v>512</v>
      </c>
      <c r="D13" s="9" t="s">
        <v>495</v>
      </c>
      <c r="E13" s="10" t="s">
        <v>528</v>
      </c>
      <c r="F13" s="10">
        <v>22</v>
      </c>
      <c r="G13" s="14" t="s">
        <v>529</v>
      </c>
      <c r="H13" s="10" t="s">
        <v>518</v>
      </c>
    </row>
    <row r="14" spans="1:8" x14ac:dyDescent="0.3">
      <c r="A14" s="11" t="s">
        <v>492</v>
      </c>
      <c r="B14" s="9" t="s">
        <v>240</v>
      </c>
      <c r="C14" s="10" t="s">
        <v>512</v>
      </c>
      <c r="D14" s="9" t="s">
        <v>495</v>
      </c>
      <c r="E14" s="10" t="s">
        <v>528</v>
      </c>
      <c r="F14" s="10"/>
      <c r="G14" s="14" t="s">
        <v>531</v>
      </c>
      <c r="H14" s="10" t="s">
        <v>521</v>
      </c>
    </row>
    <row r="15" spans="1:8" x14ac:dyDescent="0.3">
      <c r="A15" s="11" t="s">
        <v>492</v>
      </c>
      <c r="B15" s="9" t="s">
        <v>240</v>
      </c>
      <c r="C15" s="10" t="s">
        <v>512</v>
      </c>
      <c r="D15" s="9" t="s">
        <v>495</v>
      </c>
      <c r="E15" s="10" t="s">
        <v>528</v>
      </c>
      <c r="F15" s="10"/>
      <c r="G15" s="14" t="s">
        <v>532</v>
      </c>
      <c r="H15" s="10" t="s">
        <v>523</v>
      </c>
    </row>
    <row r="16" spans="1:8" x14ac:dyDescent="0.3">
      <c r="A16" s="13" t="s">
        <v>507</v>
      </c>
      <c r="B16" s="9" t="s">
        <v>240</v>
      </c>
      <c r="C16" s="10" t="s">
        <v>524</v>
      </c>
      <c r="D16" s="9" t="s">
        <v>495</v>
      </c>
      <c r="E16" s="10" t="s">
        <v>533</v>
      </c>
      <c r="F16" s="10">
        <v>80</v>
      </c>
      <c r="G16" s="15" t="s">
        <v>534</v>
      </c>
      <c r="H16" s="10" t="s">
        <v>527</v>
      </c>
    </row>
    <row r="17" spans="2:8" x14ac:dyDescent="0.3">
      <c r="B17" s="9" t="s">
        <v>163</v>
      </c>
      <c r="C17" s="10" t="s">
        <v>535</v>
      </c>
      <c r="D17" s="9" t="s">
        <v>513</v>
      </c>
      <c r="E17" s="10" t="s">
        <v>536</v>
      </c>
      <c r="F17" s="10">
        <v>443</v>
      </c>
      <c r="G17" s="10" t="s">
        <v>537</v>
      </c>
      <c r="H17" s="10" t="s">
        <v>538</v>
      </c>
    </row>
    <row r="18" spans="2:8" x14ac:dyDescent="0.3">
      <c r="B18" s="9" t="s">
        <v>163</v>
      </c>
      <c r="C18" s="10" t="s">
        <v>535</v>
      </c>
      <c r="D18" s="9" t="s">
        <v>513</v>
      </c>
      <c r="E18" s="10" t="s">
        <v>536</v>
      </c>
      <c r="F18" s="10">
        <v>443</v>
      </c>
      <c r="G18" s="10" t="s">
        <v>539</v>
      </c>
      <c r="H18" s="10" t="s">
        <v>540</v>
      </c>
    </row>
    <row r="19" spans="2:8" x14ac:dyDescent="0.3">
      <c r="B19" s="9" t="s">
        <v>163</v>
      </c>
      <c r="C19" s="10" t="s">
        <v>535</v>
      </c>
      <c r="D19" s="9" t="s">
        <v>513</v>
      </c>
      <c r="E19" s="10" t="s">
        <v>536</v>
      </c>
      <c r="F19" s="10">
        <v>443</v>
      </c>
      <c r="G19" s="10" t="s">
        <v>541</v>
      </c>
      <c r="H19" s="10" t="s">
        <v>542</v>
      </c>
    </row>
    <row r="20" spans="2:8" x14ac:dyDescent="0.3">
      <c r="B20" s="9" t="s">
        <v>163</v>
      </c>
      <c r="C20" s="10" t="s">
        <v>535</v>
      </c>
      <c r="D20" s="9" t="s">
        <v>513</v>
      </c>
      <c r="E20" s="10" t="s">
        <v>536</v>
      </c>
      <c r="F20" s="10">
        <v>443</v>
      </c>
      <c r="G20" s="10" t="s">
        <v>543</v>
      </c>
      <c r="H20" s="10" t="s">
        <v>538</v>
      </c>
    </row>
    <row r="21" spans="2:8" x14ac:dyDescent="0.3">
      <c r="B21" s="9" t="s">
        <v>163</v>
      </c>
      <c r="C21" s="10" t="s">
        <v>535</v>
      </c>
      <c r="D21" s="9" t="s">
        <v>513</v>
      </c>
      <c r="E21" s="10" t="s">
        <v>536</v>
      </c>
      <c r="F21" s="10">
        <v>443</v>
      </c>
      <c r="G21" s="10" t="s">
        <v>544</v>
      </c>
      <c r="H21" s="10" t="s">
        <v>540</v>
      </c>
    </row>
    <row r="22" spans="2:8" x14ac:dyDescent="0.3">
      <c r="B22" s="9" t="s">
        <v>163</v>
      </c>
      <c r="C22" s="10" t="s">
        <v>535</v>
      </c>
      <c r="D22" s="9" t="s">
        <v>513</v>
      </c>
      <c r="E22" s="10" t="s">
        <v>536</v>
      </c>
      <c r="F22" s="10">
        <v>443</v>
      </c>
      <c r="G22" s="10" t="s">
        <v>545</v>
      </c>
      <c r="H22" s="10" t="s">
        <v>542</v>
      </c>
    </row>
    <row r="23" spans="2:8" x14ac:dyDescent="0.3">
      <c r="B23" s="9" t="s">
        <v>163</v>
      </c>
      <c r="C23" s="10" t="s">
        <v>535</v>
      </c>
      <c r="D23" s="9" t="s">
        <v>513</v>
      </c>
      <c r="E23" s="10" t="s">
        <v>536</v>
      </c>
      <c r="F23" s="10">
        <v>443</v>
      </c>
      <c r="G23" t="s">
        <v>546</v>
      </c>
      <c r="H23" s="10" t="s">
        <v>538</v>
      </c>
    </row>
    <row r="24" spans="2:8" x14ac:dyDescent="0.3">
      <c r="B24" s="9" t="s">
        <v>163</v>
      </c>
      <c r="C24" s="10" t="s">
        <v>535</v>
      </c>
      <c r="D24" s="9" t="s">
        <v>513</v>
      </c>
      <c r="E24" s="10" t="s">
        <v>536</v>
      </c>
      <c r="F24" s="10">
        <v>443</v>
      </c>
      <c r="G24" t="s">
        <v>547</v>
      </c>
      <c r="H24" s="10" t="s">
        <v>540</v>
      </c>
    </row>
    <row r="25" spans="2:8" x14ac:dyDescent="0.3">
      <c r="B25" s="9" t="s">
        <v>163</v>
      </c>
      <c r="C25" s="10" t="s">
        <v>535</v>
      </c>
      <c r="D25" s="9" t="s">
        <v>513</v>
      </c>
      <c r="E25" s="10" t="s">
        <v>536</v>
      </c>
      <c r="F25" s="10">
        <v>443</v>
      </c>
      <c r="G25" t="s">
        <v>548</v>
      </c>
      <c r="H25" s="10" t="s">
        <v>542</v>
      </c>
    </row>
    <row r="26" spans="2:8" x14ac:dyDescent="0.3">
      <c r="B26" s="9" t="s">
        <v>163</v>
      </c>
      <c r="C26" s="10" t="s">
        <v>535</v>
      </c>
      <c r="D26" s="9" t="s">
        <v>513</v>
      </c>
      <c r="E26" s="10" t="s">
        <v>536</v>
      </c>
      <c r="F26" s="10">
        <v>443</v>
      </c>
      <c r="G26" t="s">
        <v>549</v>
      </c>
      <c r="H26" s="10" t="s">
        <v>538</v>
      </c>
    </row>
    <row r="27" spans="2:8" x14ac:dyDescent="0.3">
      <c r="B27" s="9" t="s">
        <v>163</v>
      </c>
      <c r="C27" s="10" t="s">
        <v>535</v>
      </c>
      <c r="D27" s="9" t="s">
        <v>513</v>
      </c>
      <c r="E27" s="10" t="s">
        <v>536</v>
      </c>
      <c r="F27" s="10">
        <v>443</v>
      </c>
      <c r="G27" t="s">
        <v>550</v>
      </c>
      <c r="H27" s="10" t="s">
        <v>540</v>
      </c>
    </row>
    <row r="28" spans="2:8" x14ac:dyDescent="0.3">
      <c r="B28" s="9" t="s">
        <v>163</v>
      </c>
      <c r="C28" s="10" t="s">
        <v>535</v>
      </c>
      <c r="D28" s="9" t="s">
        <v>513</v>
      </c>
      <c r="E28" s="10" t="s">
        <v>536</v>
      </c>
      <c r="F28" s="10">
        <v>443</v>
      </c>
      <c r="G28" t="s">
        <v>551</v>
      </c>
      <c r="H28" s="10" t="s">
        <v>542</v>
      </c>
    </row>
    <row r="29" spans="2:8" x14ac:dyDescent="0.3">
      <c r="B29" s="9" t="s">
        <v>163</v>
      </c>
      <c r="C29" s="10" t="s">
        <v>535</v>
      </c>
      <c r="D29" s="9" t="s">
        <v>513</v>
      </c>
      <c r="E29" s="10" t="s">
        <v>536</v>
      </c>
      <c r="F29" s="10">
        <v>443</v>
      </c>
      <c r="G29" t="s">
        <v>552</v>
      </c>
      <c r="H29" s="10" t="s">
        <v>538</v>
      </c>
    </row>
    <row r="30" spans="2:8" x14ac:dyDescent="0.3">
      <c r="B30" s="9" t="s">
        <v>163</v>
      </c>
      <c r="C30" s="10" t="s">
        <v>535</v>
      </c>
      <c r="D30" s="9" t="s">
        <v>513</v>
      </c>
      <c r="E30" s="10" t="s">
        <v>536</v>
      </c>
      <c r="F30" s="10">
        <v>443</v>
      </c>
      <c r="G30" t="s">
        <v>553</v>
      </c>
      <c r="H30" s="10" t="s">
        <v>540</v>
      </c>
    </row>
    <row r="31" spans="2:8" x14ac:dyDescent="0.3">
      <c r="B31" s="9" t="s">
        <v>163</v>
      </c>
      <c r="C31" s="10" t="s">
        <v>535</v>
      </c>
      <c r="D31" s="9" t="s">
        <v>513</v>
      </c>
      <c r="E31" s="10" t="s">
        <v>536</v>
      </c>
      <c r="F31" s="10">
        <v>443</v>
      </c>
      <c r="G31" t="s">
        <v>554</v>
      </c>
      <c r="H31" s="10" t="s">
        <v>542</v>
      </c>
    </row>
    <row r="32" spans="2:8" x14ac:dyDescent="0.3">
      <c r="B32" s="9" t="s">
        <v>163</v>
      </c>
      <c r="C32" s="10" t="s">
        <v>535</v>
      </c>
      <c r="D32" s="9" t="s">
        <v>513</v>
      </c>
      <c r="E32" s="10" t="s">
        <v>536</v>
      </c>
      <c r="F32" s="10">
        <v>443</v>
      </c>
      <c r="G32" t="s">
        <v>555</v>
      </c>
      <c r="H32" s="10" t="s">
        <v>538</v>
      </c>
    </row>
    <row r="33" spans="1:8" x14ac:dyDescent="0.3">
      <c r="B33" s="9" t="s">
        <v>163</v>
      </c>
      <c r="C33" s="10" t="s">
        <v>535</v>
      </c>
      <c r="D33" s="9" t="s">
        <v>513</v>
      </c>
      <c r="E33" s="10" t="s">
        <v>536</v>
      </c>
      <c r="F33" s="10">
        <v>443</v>
      </c>
      <c r="G33" t="s">
        <v>556</v>
      </c>
      <c r="H33" s="10" t="s">
        <v>540</v>
      </c>
    </row>
    <row r="34" spans="1:8" x14ac:dyDescent="0.3">
      <c r="B34" s="9" t="s">
        <v>163</v>
      </c>
      <c r="C34" s="10" t="s">
        <v>535</v>
      </c>
      <c r="D34" s="9" t="s">
        <v>513</v>
      </c>
      <c r="E34" s="10" t="s">
        <v>536</v>
      </c>
      <c r="F34" s="10">
        <v>443</v>
      </c>
      <c r="G34" t="s">
        <v>557</v>
      </c>
      <c r="H34" s="10" t="s">
        <v>542</v>
      </c>
    </row>
    <row r="35" spans="1:8" x14ac:dyDescent="0.3">
      <c r="B35" s="9" t="s">
        <v>163</v>
      </c>
      <c r="C35" s="10" t="s">
        <v>535</v>
      </c>
      <c r="D35" s="9" t="s">
        <v>513</v>
      </c>
      <c r="E35" s="10" t="s">
        <v>558</v>
      </c>
      <c r="F35" s="10">
        <v>443</v>
      </c>
      <c r="G35" s="10"/>
      <c r="H35" s="10" t="s">
        <v>559</v>
      </c>
    </row>
    <row r="36" spans="1:8" x14ac:dyDescent="0.3">
      <c r="B36" s="9" t="s">
        <v>240</v>
      </c>
      <c r="C36" s="10" t="s">
        <v>535</v>
      </c>
      <c r="D36" s="9" t="s">
        <v>495</v>
      </c>
      <c r="E36" s="10" t="s">
        <v>558</v>
      </c>
      <c r="F36" s="10">
        <v>443</v>
      </c>
      <c r="G36" s="10" t="s">
        <v>560</v>
      </c>
      <c r="H36" s="10" t="s">
        <v>538</v>
      </c>
    </row>
    <row r="37" spans="1:8" x14ac:dyDescent="0.3">
      <c r="B37" s="9" t="s">
        <v>240</v>
      </c>
      <c r="C37" s="10" t="s">
        <v>535</v>
      </c>
      <c r="D37" s="9" t="s">
        <v>495</v>
      </c>
      <c r="E37" s="10" t="s">
        <v>558</v>
      </c>
      <c r="F37" s="10">
        <v>443</v>
      </c>
      <c r="G37" s="10" t="s">
        <v>561</v>
      </c>
      <c r="H37" s="10" t="s">
        <v>540</v>
      </c>
    </row>
    <row r="38" spans="1:8" x14ac:dyDescent="0.3">
      <c r="B38" s="9" t="s">
        <v>240</v>
      </c>
      <c r="C38" s="10" t="s">
        <v>535</v>
      </c>
      <c r="D38" s="9" t="s">
        <v>495</v>
      </c>
      <c r="E38" s="10" t="s">
        <v>558</v>
      </c>
      <c r="F38" s="10">
        <v>443</v>
      </c>
      <c r="G38" s="10" t="s">
        <v>562</v>
      </c>
      <c r="H38" s="10" t="s">
        <v>542</v>
      </c>
    </row>
    <row r="39" spans="1:8" x14ac:dyDescent="0.3">
      <c r="B39" s="9" t="s">
        <v>240</v>
      </c>
      <c r="C39" s="10" t="s">
        <v>535</v>
      </c>
      <c r="D39" s="9" t="s">
        <v>495</v>
      </c>
      <c r="E39" s="10" t="s">
        <v>558</v>
      </c>
      <c r="F39" s="10">
        <v>443</v>
      </c>
      <c r="G39" s="10" t="s">
        <v>563</v>
      </c>
      <c r="H39" s="10" t="s">
        <v>538</v>
      </c>
    </row>
    <row r="40" spans="1:8" x14ac:dyDescent="0.3">
      <c r="B40" s="9" t="s">
        <v>240</v>
      </c>
      <c r="C40" s="10" t="s">
        <v>535</v>
      </c>
      <c r="D40" s="9" t="s">
        <v>495</v>
      </c>
      <c r="E40" s="10" t="s">
        <v>558</v>
      </c>
      <c r="F40" s="10">
        <v>443</v>
      </c>
      <c r="G40" s="10" t="s">
        <v>564</v>
      </c>
      <c r="H40" s="10" t="s">
        <v>540</v>
      </c>
    </row>
    <row r="41" spans="1:8" x14ac:dyDescent="0.3">
      <c r="B41" s="9" t="s">
        <v>240</v>
      </c>
      <c r="C41" s="10" t="s">
        <v>535</v>
      </c>
      <c r="D41" s="9" t="s">
        <v>495</v>
      </c>
      <c r="E41" s="10" t="s">
        <v>558</v>
      </c>
      <c r="F41" s="10">
        <v>443</v>
      </c>
      <c r="G41" s="10" t="s">
        <v>565</v>
      </c>
      <c r="H41" s="10" t="s">
        <v>542</v>
      </c>
    </row>
    <row r="42" spans="1:8" x14ac:dyDescent="0.3">
      <c r="B42" s="9" t="s">
        <v>240</v>
      </c>
      <c r="C42" s="10" t="s">
        <v>535</v>
      </c>
      <c r="D42" s="9" t="s">
        <v>495</v>
      </c>
      <c r="E42" s="10" t="s">
        <v>558</v>
      </c>
      <c r="F42" s="10">
        <v>443</v>
      </c>
      <c r="G42" t="s">
        <v>566</v>
      </c>
      <c r="H42" s="10" t="s">
        <v>538</v>
      </c>
    </row>
    <row r="43" spans="1:8" x14ac:dyDescent="0.3">
      <c r="B43" s="9" t="s">
        <v>240</v>
      </c>
      <c r="C43" s="10" t="s">
        <v>535</v>
      </c>
      <c r="D43" s="9" t="s">
        <v>495</v>
      </c>
      <c r="E43" s="10" t="s">
        <v>558</v>
      </c>
      <c r="F43" s="10">
        <v>443</v>
      </c>
      <c r="G43" t="s">
        <v>567</v>
      </c>
      <c r="H43" s="10" t="s">
        <v>540</v>
      </c>
    </row>
    <row r="44" spans="1:8" x14ac:dyDescent="0.3">
      <c r="B44" s="9" t="s">
        <v>240</v>
      </c>
      <c r="C44" s="10" t="s">
        <v>535</v>
      </c>
      <c r="D44" s="9" t="s">
        <v>495</v>
      </c>
      <c r="E44" s="10" t="s">
        <v>558</v>
      </c>
      <c r="F44" s="10">
        <v>443</v>
      </c>
      <c r="G44" t="s">
        <v>568</v>
      </c>
      <c r="H44" s="10" t="s">
        <v>542</v>
      </c>
    </row>
    <row r="45" spans="1:8" x14ac:dyDescent="0.3">
      <c r="B45" s="9" t="s">
        <v>240</v>
      </c>
      <c r="C45" s="10" t="s">
        <v>535</v>
      </c>
      <c r="D45" s="9" t="s">
        <v>495</v>
      </c>
      <c r="E45" s="10" t="s">
        <v>558</v>
      </c>
      <c r="F45" s="10">
        <v>443</v>
      </c>
      <c r="G45" t="s">
        <v>569</v>
      </c>
      <c r="H45" s="10" t="s">
        <v>538</v>
      </c>
    </row>
    <row r="46" spans="1:8" x14ac:dyDescent="0.3">
      <c r="B46" s="9" t="s">
        <v>240</v>
      </c>
      <c r="C46" s="10" t="s">
        <v>535</v>
      </c>
      <c r="D46" s="9" t="s">
        <v>495</v>
      </c>
      <c r="E46" s="10" t="s">
        <v>558</v>
      </c>
      <c r="F46" s="10">
        <v>443</v>
      </c>
      <c r="G46" t="s">
        <v>570</v>
      </c>
      <c r="H46" s="10" t="s">
        <v>540</v>
      </c>
    </row>
    <row r="47" spans="1:8" x14ac:dyDescent="0.3">
      <c r="B47" s="9" t="s">
        <v>240</v>
      </c>
      <c r="C47" s="10" t="s">
        <v>535</v>
      </c>
      <c r="D47" s="9" t="s">
        <v>495</v>
      </c>
      <c r="E47" s="10" t="s">
        <v>558</v>
      </c>
      <c r="F47" s="10">
        <v>443</v>
      </c>
      <c r="G47" t="s">
        <v>571</v>
      </c>
      <c r="H47" s="10" t="s">
        <v>542</v>
      </c>
    </row>
    <row r="48" spans="1:8" x14ac:dyDescent="0.3">
      <c r="A48" s="9" t="s">
        <v>572</v>
      </c>
      <c r="B48" s="9" t="s">
        <v>240</v>
      </c>
      <c r="C48" s="10" t="s">
        <v>535</v>
      </c>
      <c r="D48" s="9" t="s">
        <v>495</v>
      </c>
      <c r="E48" s="10" t="s">
        <v>558</v>
      </c>
      <c r="F48" s="10">
        <v>443</v>
      </c>
      <c r="G48" t="s">
        <v>573</v>
      </c>
      <c r="H48" s="10" t="s">
        <v>538</v>
      </c>
    </row>
    <row r="49" spans="1:8" x14ac:dyDescent="0.3">
      <c r="A49" s="9" t="s">
        <v>572</v>
      </c>
      <c r="B49" s="9" t="s">
        <v>240</v>
      </c>
      <c r="C49" s="10" t="s">
        <v>535</v>
      </c>
      <c r="D49" s="9" t="s">
        <v>495</v>
      </c>
      <c r="E49" s="10" t="s">
        <v>558</v>
      </c>
      <c r="F49" s="10">
        <v>443</v>
      </c>
      <c r="G49" t="s">
        <v>574</v>
      </c>
      <c r="H49" s="10" t="s">
        <v>540</v>
      </c>
    </row>
    <row r="50" spans="1:8" x14ac:dyDescent="0.3">
      <c r="A50" s="9" t="s">
        <v>572</v>
      </c>
      <c r="B50" s="9" t="s">
        <v>240</v>
      </c>
      <c r="C50" s="10" t="s">
        <v>535</v>
      </c>
      <c r="D50" s="9" t="s">
        <v>495</v>
      </c>
      <c r="E50" s="10" t="s">
        <v>558</v>
      </c>
      <c r="F50" s="10">
        <v>443</v>
      </c>
      <c r="G50" t="s">
        <v>575</v>
      </c>
      <c r="H50" s="10" t="s">
        <v>542</v>
      </c>
    </row>
    <row r="51" spans="1:8" x14ac:dyDescent="0.3">
      <c r="B51" s="9" t="s">
        <v>240</v>
      </c>
      <c r="C51" s="10" t="s">
        <v>535</v>
      </c>
      <c r="D51" s="9" t="s">
        <v>495</v>
      </c>
      <c r="E51" s="10" t="s">
        <v>558</v>
      </c>
      <c r="F51" s="10">
        <v>443</v>
      </c>
      <c r="G51" t="s">
        <v>576</v>
      </c>
      <c r="H51" s="10" t="s">
        <v>538</v>
      </c>
    </row>
    <row r="52" spans="1:8" x14ac:dyDescent="0.3">
      <c r="B52" s="9" t="s">
        <v>240</v>
      </c>
      <c r="C52" s="10" t="s">
        <v>535</v>
      </c>
      <c r="D52" s="9" t="s">
        <v>495</v>
      </c>
      <c r="E52" s="10" t="s">
        <v>558</v>
      </c>
      <c r="F52" s="10">
        <v>443</v>
      </c>
      <c r="G52" t="s">
        <v>577</v>
      </c>
      <c r="H52" s="10" t="s">
        <v>540</v>
      </c>
    </row>
    <row r="53" spans="1:8" x14ac:dyDescent="0.3">
      <c r="B53" s="9" t="s">
        <v>240</v>
      </c>
      <c r="C53" s="10" t="s">
        <v>535</v>
      </c>
      <c r="D53" s="9" t="s">
        <v>495</v>
      </c>
      <c r="E53" s="10" t="s">
        <v>558</v>
      </c>
      <c r="F53" s="10">
        <v>443</v>
      </c>
      <c r="G53" t="s">
        <v>578</v>
      </c>
      <c r="H53" s="10" t="s">
        <v>542</v>
      </c>
    </row>
    <row r="54" spans="1:8" x14ac:dyDescent="0.3">
      <c r="B54" s="9" t="s">
        <v>240</v>
      </c>
      <c r="C54" s="10" t="s">
        <v>535</v>
      </c>
      <c r="D54" s="9" t="s">
        <v>495</v>
      </c>
      <c r="E54" s="10" t="s">
        <v>558</v>
      </c>
      <c r="F54" s="10">
        <v>443</v>
      </c>
      <c r="G54" t="s">
        <v>579</v>
      </c>
      <c r="H54" s="10" t="s">
        <v>538</v>
      </c>
    </row>
    <row r="55" spans="1:8" x14ac:dyDescent="0.3">
      <c r="B55" s="9" t="s">
        <v>240</v>
      </c>
      <c r="C55" s="10" t="s">
        <v>535</v>
      </c>
      <c r="D55" s="9" t="s">
        <v>495</v>
      </c>
      <c r="E55" s="10" t="s">
        <v>558</v>
      </c>
      <c r="F55" s="10">
        <v>443</v>
      </c>
      <c r="G55" t="s">
        <v>580</v>
      </c>
      <c r="H55" s="10" t="s">
        <v>540</v>
      </c>
    </row>
    <row r="56" spans="1:8" x14ac:dyDescent="0.3">
      <c r="B56" s="9" t="s">
        <v>240</v>
      </c>
      <c r="C56" s="10" t="s">
        <v>535</v>
      </c>
      <c r="D56" s="9" t="s">
        <v>495</v>
      </c>
      <c r="E56" s="10" t="s">
        <v>558</v>
      </c>
      <c r="F56" s="10">
        <v>443</v>
      </c>
      <c r="G56" t="s">
        <v>581</v>
      </c>
      <c r="H56" s="10" t="s">
        <v>542</v>
      </c>
    </row>
    <row r="57" spans="1:8" x14ac:dyDescent="0.3">
      <c r="B57" s="9" t="s">
        <v>240</v>
      </c>
      <c r="C57" s="10" t="s">
        <v>535</v>
      </c>
      <c r="D57" s="9" t="s">
        <v>495</v>
      </c>
      <c r="E57" s="10" t="s">
        <v>558</v>
      </c>
      <c r="F57" s="10">
        <v>443</v>
      </c>
      <c r="G57" s="10"/>
      <c r="H57" s="9" t="s">
        <v>559</v>
      </c>
    </row>
  </sheetData>
  <autoFilter ref="B1:H57" xr:uid="{49BA6005-F147-41B4-BBC6-A192D4BA42E6}"/>
  <hyperlinks>
    <hyperlink ref="G16" r:id="rId1" xr:uid="{2408D1E5-6C77-4479-923A-DD8370974443}"/>
    <hyperlink ref="G15" r:id="rId2" xr:uid="{CC44228A-42F8-47F7-ADB4-42D91893B73A}"/>
    <hyperlink ref="G14" r:id="rId3" xr:uid="{65BA9347-ACCD-41DB-988F-A488F2916B66}"/>
    <hyperlink ref="G13" r:id="rId4" display="http://smki-repo.uitb.dsp.dccinterface.co.uk" xr:uid="{40753D37-8296-48D7-B5FE-A6F775AC9E5F}"/>
    <hyperlink ref="G11" r:id="rId5" xr:uid="{C4F56A91-2A78-4DCE-B963-3919B0EF29A9}"/>
  </hyperlinks>
  <pageMargins left="0.7" right="0.7" top="0.75" bottom="0.75" header="0.3" footer="0.3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28EA-9DC9-40D8-9DE0-2690C6762AD3}">
  <dimension ref="A1:F257"/>
  <sheetViews>
    <sheetView tabSelected="1" workbookViewId="0">
      <selection activeCell="J271" sqref="J271"/>
    </sheetView>
  </sheetViews>
  <sheetFormatPr defaultRowHeight="14.4" x14ac:dyDescent="0.3"/>
  <cols>
    <col min="1" max="1" width="25.6640625" bestFit="1" customWidth="1"/>
    <col min="2" max="2" width="25.6640625" customWidth="1"/>
    <col min="3" max="3" width="10.88671875" bestFit="1" customWidth="1"/>
    <col min="4" max="4" width="13.109375" bestFit="1" customWidth="1"/>
    <col min="5" max="5" width="13" bestFit="1" customWidth="1"/>
    <col min="6" max="6" width="35" bestFit="1" customWidth="1"/>
  </cols>
  <sheetData>
    <row r="1" spans="1:6" s="9" customFormat="1" ht="24" customHeight="1" x14ac:dyDescent="0.3">
      <c r="A1" s="57" t="s">
        <v>0</v>
      </c>
      <c r="B1" s="57" t="s">
        <v>608</v>
      </c>
      <c r="C1" s="57" t="s">
        <v>1</v>
      </c>
      <c r="D1" s="57" t="s">
        <v>3</v>
      </c>
      <c r="E1" s="58" t="s">
        <v>4</v>
      </c>
      <c r="F1" s="57" t="s">
        <v>613</v>
      </c>
    </row>
    <row r="2" spans="1:6" x14ac:dyDescent="0.3">
      <c r="A2" s="3" t="s">
        <v>162</v>
      </c>
      <c r="B2" s="3" t="s">
        <v>609</v>
      </c>
      <c r="C2" s="1" t="s">
        <v>604</v>
      </c>
      <c r="D2" s="7" t="s">
        <v>614</v>
      </c>
      <c r="E2" s="1" t="s">
        <v>163</v>
      </c>
      <c r="F2" s="7" t="str">
        <f>_xlfn.CONCAT(A2,"_",C2,"_",D2)</f>
        <v>70-B3-D5-1F-31-AA-03-00_IS1_DUIS3.0</v>
      </c>
    </row>
    <row r="3" spans="1:6" x14ac:dyDescent="0.3">
      <c r="A3" s="3" t="s">
        <v>165</v>
      </c>
      <c r="B3" s="3" t="s">
        <v>610</v>
      </c>
      <c r="C3" s="1" t="s">
        <v>605</v>
      </c>
      <c r="D3" s="7" t="s">
        <v>614</v>
      </c>
      <c r="E3" s="1" t="s">
        <v>163</v>
      </c>
      <c r="F3" s="7" t="str">
        <f t="shared" ref="F3:F66" si="0">_xlfn.CONCAT(A3,"_",C3,"_",D3)</f>
        <v>70-B3-D5-1F-31-AA-03-01_IS2_DUIS3.0</v>
      </c>
    </row>
    <row r="4" spans="1:6" x14ac:dyDescent="0.3">
      <c r="A4" s="3" t="s">
        <v>167</v>
      </c>
      <c r="B4" s="3" t="s">
        <v>593</v>
      </c>
      <c r="C4" s="1" t="s">
        <v>24</v>
      </c>
      <c r="D4" s="7" t="s">
        <v>614</v>
      </c>
      <c r="E4" s="1" t="s">
        <v>163</v>
      </c>
      <c r="F4" s="7" t="str">
        <f t="shared" si="0"/>
        <v>70-B3-D5-1F-31-AA-03-02_ES_DUIS3.0</v>
      </c>
    </row>
    <row r="5" spans="1:6" x14ac:dyDescent="0.3">
      <c r="A5" s="3" t="s">
        <v>168</v>
      </c>
      <c r="B5" s="3" t="s">
        <v>611</v>
      </c>
      <c r="C5" s="1" t="s">
        <v>607</v>
      </c>
      <c r="D5" s="7" t="s">
        <v>614</v>
      </c>
      <c r="E5" s="1" t="s">
        <v>163</v>
      </c>
      <c r="F5" s="7" t="str">
        <f t="shared" si="0"/>
        <v>70-B3-D5-1F-31-AA-03-03_GS1_DUIS3.0</v>
      </c>
    </row>
    <row r="6" spans="1:6" x14ac:dyDescent="0.3">
      <c r="A6" s="3" t="s">
        <v>169</v>
      </c>
      <c r="B6" s="3" t="s">
        <v>612</v>
      </c>
      <c r="C6" s="1" t="s">
        <v>606</v>
      </c>
      <c r="D6" s="7" t="s">
        <v>614</v>
      </c>
      <c r="E6" s="1" t="s">
        <v>163</v>
      </c>
      <c r="F6" s="7" t="str">
        <f t="shared" si="0"/>
        <v>70-B3-D5-1F-31-AA-03-04_GS2_DUIS3.0</v>
      </c>
    </row>
    <row r="7" spans="1:6" x14ac:dyDescent="0.3">
      <c r="A7" s="3" t="s">
        <v>170</v>
      </c>
      <c r="B7" s="3" t="s">
        <v>594</v>
      </c>
      <c r="C7" s="1" t="s">
        <v>33</v>
      </c>
      <c r="D7" s="7" t="s">
        <v>614</v>
      </c>
      <c r="E7" s="1" t="s">
        <v>163</v>
      </c>
      <c r="F7" s="7" t="str">
        <f t="shared" si="0"/>
        <v>70-B3-D5-1F-31-AA-03-05_ED_DUIS3.0</v>
      </c>
    </row>
    <row r="8" spans="1:6" x14ac:dyDescent="0.3">
      <c r="A8" s="3" t="s">
        <v>171</v>
      </c>
      <c r="B8" s="3" t="s">
        <v>596</v>
      </c>
      <c r="C8" s="1" t="s">
        <v>35</v>
      </c>
      <c r="D8" s="7" t="s">
        <v>614</v>
      </c>
      <c r="E8" s="1" t="s">
        <v>163</v>
      </c>
      <c r="F8" s="7" t="str">
        <f t="shared" si="0"/>
        <v>70-B3-D5-1F-31-AA-03-06_GT_DUIS3.0</v>
      </c>
    </row>
    <row r="9" spans="1:6" x14ac:dyDescent="0.3">
      <c r="A9" s="3" t="s">
        <v>172</v>
      </c>
      <c r="B9" s="3" t="s">
        <v>597</v>
      </c>
      <c r="C9" s="1" t="s">
        <v>37</v>
      </c>
      <c r="D9" s="7" t="s">
        <v>614</v>
      </c>
      <c r="E9" s="1" t="s">
        <v>163</v>
      </c>
      <c r="F9" s="7" t="str">
        <f t="shared" si="0"/>
        <v>70-B3-D5-1F-31-AA-03-07_RSA_DUIS3.0</v>
      </c>
    </row>
    <row r="10" spans="1:6" x14ac:dyDescent="0.3">
      <c r="A10" s="3" t="s">
        <v>173</v>
      </c>
      <c r="B10" s="3" t="s">
        <v>601</v>
      </c>
      <c r="C10" s="1" t="s">
        <v>40</v>
      </c>
      <c r="D10" s="7" t="s">
        <v>614</v>
      </c>
      <c r="E10" s="1" t="s">
        <v>163</v>
      </c>
      <c r="F10" s="7" t="str">
        <f t="shared" si="0"/>
        <v>70-B3-D5-1F-31-AA-03-08_OU_DUIS3.0</v>
      </c>
    </row>
    <row r="11" spans="1:6" x14ac:dyDescent="0.3">
      <c r="A11" s="3" t="s">
        <v>174</v>
      </c>
      <c r="B11" s="3" t="s">
        <v>609</v>
      </c>
      <c r="C11" s="1" t="s">
        <v>604</v>
      </c>
      <c r="D11" s="7" t="s">
        <v>615</v>
      </c>
      <c r="E11" s="1" t="s">
        <v>163</v>
      </c>
      <c r="F11" s="7" t="str">
        <f t="shared" si="0"/>
        <v>70-B3-D5-1F-31-AA-03-09_IS1_DUIS3.1</v>
      </c>
    </row>
    <row r="12" spans="1:6" x14ac:dyDescent="0.3">
      <c r="A12" s="3" t="s">
        <v>175</v>
      </c>
      <c r="B12" s="3" t="s">
        <v>610</v>
      </c>
      <c r="C12" s="1" t="s">
        <v>605</v>
      </c>
      <c r="D12" s="7" t="s">
        <v>615</v>
      </c>
      <c r="E12" s="1" t="s">
        <v>163</v>
      </c>
      <c r="F12" s="7" t="str">
        <f t="shared" si="0"/>
        <v>70-B3-D5-1F-31-AA-03-10_IS2_DUIS3.1</v>
      </c>
    </row>
    <row r="13" spans="1:6" x14ac:dyDescent="0.3">
      <c r="A13" s="3" t="s">
        <v>176</v>
      </c>
      <c r="B13" s="3" t="s">
        <v>593</v>
      </c>
      <c r="C13" s="1" t="s">
        <v>24</v>
      </c>
      <c r="D13" s="7" t="s">
        <v>615</v>
      </c>
      <c r="E13" s="1" t="s">
        <v>163</v>
      </c>
      <c r="F13" s="7" t="str">
        <f t="shared" si="0"/>
        <v>70-B3-D5-1F-31-AA-03-11_ES_DUIS3.1</v>
      </c>
    </row>
    <row r="14" spans="1:6" x14ac:dyDescent="0.3">
      <c r="A14" s="3" t="s">
        <v>177</v>
      </c>
      <c r="B14" s="3" t="s">
        <v>611</v>
      </c>
      <c r="C14" s="1" t="s">
        <v>607</v>
      </c>
      <c r="D14" s="7" t="s">
        <v>615</v>
      </c>
      <c r="E14" s="1" t="s">
        <v>163</v>
      </c>
      <c r="F14" s="7" t="str">
        <f t="shared" si="0"/>
        <v>70-B3-D5-1F-31-AA-03-12_GS1_DUIS3.1</v>
      </c>
    </row>
    <row r="15" spans="1:6" x14ac:dyDescent="0.3">
      <c r="A15" s="3" t="s">
        <v>178</v>
      </c>
      <c r="B15" s="3" t="s">
        <v>612</v>
      </c>
      <c r="C15" s="1" t="s">
        <v>606</v>
      </c>
      <c r="D15" s="7" t="s">
        <v>615</v>
      </c>
      <c r="E15" s="1" t="s">
        <v>163</v>
      </c>
      <c r="F15" s="7" t="str">
        <f t="shared" si="0"/>
        <v>70-B3-D5-1F-31-AA-03-13_GS2_DUIS3.1</v>
      </c>
    </row>
    <row r="16" spans="1:6" x14ac:dyDescent="0.3">
      <c r="A16" s="3" t="s">
        <v>179</v>
      </c>
      <c r="B16" s="3" t="s">
        <v>594</v>
      </c>
      <c r="C16" s="1" t="s">
        <v>33</v>
      </c>
      <c r="D16" s="7" t="s">
        <v>615</v>
      </c>
      <c r="E16" s="1" t="s">
        <v>163</v>
      </c>
      <c r="F16" s="7" t="str">
        <f t="shared" si="0"/>
        <v>70-B3-D5-1F-31-AA-03-14_ED_DUIS3.1</v>
      </c>
    </row>
    <row r="17" spans="1:6" x14ac:dyDescent="0.3">
      <c r="A17" s="3" t="s">
        <v>180</v>
      </c>
      <c r="B17" s="3" t="s">
        <v>596</v>
      </c>
      <c r="C17" s="1" t="s">
        <v>35</v>
      </c>
      <c r="D17" s="7" t="s">
        <v>615</v>
      </c>
      <c r="E17" s="1" t="s">
        <v>163</v>
      </c>
      <c r="F17" s="7" t="str">
        <f t="shared" si="0"/>
        <v>70-B3-D5-1F-31-AA-03-15_GT_DUIS3.1</v>
      </c>
    </row>
    <row r="18" spans="1:6" x14ac:dyDescent="0.3">
      <c r="A18" s="3" t="s">
        <v>181</v>
      </c>
      <c r="B18" s="3" t="s">
        <v>597</v>
      </c>
      <c r="C18" s="1" t="s">
        <v>37</v>
      </c>
      <c r="D18" s="7" t="s">
        <v>615</v>
      </c>
      <c r="E18" s="1" t="s">
        <v>163</v>
      </c>
      <c r="F18" s="7" t="str">
        <f t="shared" si="0"/>
        <v>70-B3-D5-1F-31-AA-03-16_RSA_DUIS3.1</v>
      </c>
    </row>
    <row r="19" spans="1:6" x14ac:dyDescent="0.3">
      <c r="A19" s="3" t="s">
        <v>182</v>
      </c>
      <c r="B19" s="3" t="s">
        <v>601</v>
      </c>
      <c r="C19" s="1" t="s">
        <v>40</v>
      </c>
      <c r="D19" s="7" t="s">
        <v>615</v>
      </c>
      <c r="E19" s="1" t="s">
        <v>163</v>
      </c>
      <c r="F19" s="7" t="str">
        <f t="shared" si="0"/>
        <v>70-B3-D5-1F-31-AA-03-17_OU_DUIS3.1</v>
      </c>
    </row>
    <row r="20" spans="1:6" x14ac:dyDescent="0.3">
      <c r="A20" s="3" t="s">
        <v>183</v>
      </c>
      <c r="B20" s="3" t="s">
        <v>609</v>
      </c>
      <c r="C20" s="1" t="s">
        <v>604</v>
      </c>
      <c r="D20" s="7" t="s">
        <v>616</v>
      </c>
      <c r="E20" s="1" t="s">
        <v>163</v>
      </c>
      <c r="F20" s="7" t="str">
        <f t="shared" si="0"/>
        <v>70-B3-D5-1F-31-AA-03-18_IS1_DUIS4.0</v>
      </c>
    </row>
    <row r="21" spans="1:6" x14ac:dyDescent="0.3">
      <c r="A21" s="3" t="s">
        <v>184</v>
      </c>
      <c r="B21" s="3" t="s">
        <v>610</v>
      </c>
      <c r="C21" s="1" t="s">
        <v>605</v>
      </c>
      <c r="D21" s="7" t="s">
        <v>616</v>
      </c>
      <c r="E21" s="1" t="s">
        <v>163</v>
      </c>
      <c r="F21" s="7" t="str">
        <f t="shared" si="0"/>
        <v>70-B3-D5-1F-31-AA-03-19_IS2_DUIS4.0</v>
      </c>
    </row>
    <row r="22" spans="1:6" x14ac:dyDescent="0.3">
      <c r="A22" s="3" t="s">
        <v>185</v>
      </c>
      <c r="B22" s="3" t="s">
        <v>593</v>
      </c>
      <c r="C22" s="1" t="s">
        <v>24</v>
      </c>
      <c r="D22" s="7" t="s">
        <v>616</v>
      </c>
      <c r="E22" s="1" t="s">
        <v>163</v>
      </c>
      <c r="F22" s="7" t="str">
        <f t="shared" si="0"/>
        <v>70-B3-D5-1F-31-AA-03-20_ES_DUIS4.0</v>
      </c>
    </row>
    <row r="23" spans="1:6" x14ac:dyDescent="0.3">
      <c r="A23" s="3" t="s">
        <v>186</v>
      </c>
      <c r="B23" s="3" t="s">
        <v>611</v>
      </c>
      <c r="C23" s="1" t="s">
        <v>607</v>
      </c>
      <c r="D23" s="7" t="s">
        <v>616</v>
      </c>
      <c r="E23" s="1" t="s">
        <v>163</v>
      </c>
      <c r="F23" s="7" t="str">
        <f t="shared" si="0"/>
        <v>70-B3-D5-1F-31-AA-03-21_GS1_DUIS4.0</v>
      </c>
    </row>
    <row r="24" spans="1:6" x14ac:dyDescent="0.3">
      <c r="A24" s="3" t="s">
        <v>187</v>
      </c>
      <c r="B24" s="3" t="s">
        <v>612</v>
      </c>
      <c r="C24" s="1" t="s">
        <v>606</v>
      </c>
      <c r="D24" s="7" t="s">
        <v>616</v>
      </c>
      <c r="E24" s="1" t="s">
        <v>163</v>
      </c>
      <c r="F24" s="7" t="str">
        <f t="shared" si="0"/>
        <v>70-B3-D5-1F-31-AA-03-22_GS2_DUIS4.0</v>
      </c>
    </row>
    <row r="25" spans="1:6" x14ac:dyDescent="0.3">
      <c r="A25" s="3" t="s">
        <v>189</v>
      </c>
      <c r="B25" s="3" t="s">
        <v>594</v>
      </c>
      <c r="C25" s="1" t="s">
        <v>33</v>
      </c>
      <c r="D25" s="7" t="s">
        <v>616</v>
      </c>
      <c r="E25" s="1" t="s">
        <v>163</v>
      </c>
      <c r="F25" s="7" t="str">
        <f t="shared" si="0"/>
        <v>70-B3-D5-1F-31-AA-03-23_ED_DUIS4.0</v>
      </c>
    </row>
    <row r="26" spans="1:6" x14ac:dyDescent="0.3">
      <c r="A26" s="3" t="s">
        <v>190</v>
      </c>
      <c r="B26" s="3" t="s">
        <v>596</v>
      </c>
      <c r="C26" s="1" t="s">
        <v>35</v>
      </c>
      <c r="D26" s="7" t="s">
        <v>616</v>
      </c>
      <c r="E26" s="1" t="s">
        <v>163</v>
      </c>
      <c r="F26" s="7" t="str">
        <f t="shared" si="0"/>
        <v>70-B3-D5-1F-31-AA-03-24_GT_DUIS4.0</v>
      </c>
    </row>
    <row r="27" spans="1:6" x14ac:dyDescent="0.3">
      <c r="A27" s="3" t="s">
        <v>191</v>
      </c>
      <c r="B27" s="3" t="s">
        <v>597</v>
      </c>
      <c r="C27" s="1" t="s">
        <v>37</v>
      </c>
      <c r="D27" s="7" t="s">
        <v>616</v>
      </c>
      <c r="E27" s="1" t="s">
        <v>163</v>
      </c>
      <c r="F27" s="7" t="str">
        <f t="shared" si="0"/>
        <v>70-B3-D5-1F-31-AA-03-25_RSA_DUIS4.0</v>
      </c>
    </row>
    <row r="28" spans="1:6" x14ac:dyDescent="0.3">
      <c r="A28" s="3" t="s">
        <v>192</v>
      </c>
      <c r="B28" s="3" t="s">
        <v>601</v>
      </c>
      <c r="C28" s="1" t="s">
        <v>40</v>
      </c>
      <c r="D28" s="7" t="s">
        <v>616</v>
      </c>
      <c r="E28" s="1" t="s">
        <v>163</v>
      </c>
      <c r="F28" s="7" t="str">
        <f t="shared" si="0"/>
        <v>70-B3-D5-1F-31-AA-03-26_OU_DUIS4.0</v>
      </c>
    </row>
    <row r="29" spans="1:6" x14ac:dyDescent="0.3">
      <c r="A29" s="3" t="s">
        <v>193</v>
      </c>
      <c r="B29" s="3" t="s">
        <v>609</v>
      </c>
      <c r="C29" s="1" t="s">
        <v>604</v>
      </c>
      <c r="D29" s="7" t="s">
        <v>617</v>
      </c>
      <c r="E29" s="1" t="s">
        <v>163</v>
      </c>
      <c r="F29" s="7" t="str">
        <f t="shared" si="0"/>
        <v>70-B3-D5-1F-31-AA-03-27_IS1_DUIS5.0</v>
      </c>
    </row>
    <row r="30" spans="1:6" x14ac:dyDescent="0.3">
      <c r="A30" s="3" t="s">
        <v>194</v>
      </c>
      <c r="B30" s="3" t="s">
        <v>610</v>
      </c>
      <c r="C30" s="1" t="s">
        <v>605</v>
      </c>
      <c r="D30" s="7" t="s">
        <v>617</v>
      </c>
      <c r="E30" s="1" t="s">
        <v>163</v>
      </c>
      <c r="F30" s="7" t="str">
        <f t="shared" si="0"/>
        <v>70-B3-D5-1F-31-AA-03-28_IS2_DUIS5.0</v>
      </c>
    </row>
    <row r="31" spans="1:6" x14ac:dyDescent="0.3">
      <c r="A31" s="3" t="s">
        <v>195</v>
      </c>
      <c r="B31" s="3" t="s">
        <v>593</v>
      </c>
      <c r="C31" s="1" t="s">
        <v>24</v>
      </c>
      <c r="D31" s="7" t="s">
        <v>617</v>
      </c>
      <c r="E31" s="1" t="s">
        <v>163</v>
      </c>
      <c r="F31" s="7" t="str">
        <f t="shared" si="0"/>
        <v>70-B3-D5-1F-31-AA-03-29_ES_DUIS5.0</v>
      </c>
    </row>
    <row r="32" spans="1:6" x14ac:dyDescent="0.3">
      <c r="A32" s="3" t="s">
        <v>196</v>
      </c>
      <c r="B32" s="3" t="s">
        <v>611</v>
      </c>
      <c r="C32" s="1" t="s">
        <v>607</v>
      </c>
      <c r="D32" s="7" t="s">
        <v>617</v>
      </c>
      <c r="E32" s="1" t="s">
        <v>163</v>
      </c>
      <c r="F32" s="7" t="str">
        <f t="shared" si="0"/>
        <v>70-B3-D5-1F-31-AA-03-30_GS1_DUIS5.0</v>
      </c>
    </row>
    <row r="33" spans="1:6" x14ac:dyDescent="0.3">
      <c r="A33" s="3" t="s">
        <v>197</v>
      </c>
      <c r="B33" s="3" t="s">
        <v>612</v>
      </c>
      <c r="C33" s="1" t="s">
        <v>606</v>
      </c>
      <c r="D33" s="7" t="s">
        <v>617</v>
      </c>
      <c r="E33" s="1" t="s">
        <v>163</v>
      </c>
      <c r="F33" s="7" t="str">
        <f t="shared" si="0"/>
        <v>70-B3-D5-1F-31-AA-03-31_GS2_DUIS5.0</v>
      </c>
    </row>
    <row r="34" spans="1:6" x14ac:dyDescent="0.3">
      <c r="A34" s="3" t="s">
        <v>198</v>
      </c>
      <c r="B34" s="3" t="s">
        <v>594</v>
      </c>
      <c r="C34" s="1" t="s">
        <v>33</v>
      </c>
      <c r="D34" s="7" t="s">
        <v>617</v>
      </c>
      <c r="E34" s="1" t="s">
        <v>163</v>
      </c>
      <c r="F34" s="7" t="str">
        <f t="shared" si="0"/>
        <v>70-B3-D5-1F-31-AA-03-32_ED_DUIS5.0</v>
      </c>
    </row>
    <row r="35" spans="1:6" x14ac:dyDescent="0.3">
      <c r="A35" s="3" t="s">
        <v>199</v>
      </c>
      <c r="B35" s="3" t="s">
        <v>596</v>
      </c>
      <c r="C35" s="1" t="s">
        <v>35</v>
      </c>
      <c r="D35" s="7" t="s">
        <v>617</v>
      </c>
      <c r="E35" s="1" t="s">
        <v>163</v>
      </c>
      <c r="F35" s="7" t="str">
        <f t="shared" si="0"/>
        <v>70-B3-D5-1F-31-AA-03-33_GT_DUIS5.0</v>
      </c>
    </row>
    <row r="36" spans="1:6" x14ac:dyDescent="0.3">
      <c r="A36" s="3" t="s">
        <v>200</v>
      </c>
      <c r="B36" s="3" t="s">
        <v>597</v>
      </c>
      <c r="C36" s="1" t="s">
        <v>37</v>
      </c>
      <c r="D36" s="7" t="s">
        <v>617</v>
      </c>
      <c r="E36" s="1" t="s">
        <v>163</v>
      </c>
      <c r="F36" s="7" t="str">
        <f t="shared" si="0"/>
        <v>70-B3-D5-1F-31-AA-03-34_RSA_DUIS5.0</v>
      </c>
    </row>
    <row r="37" spans="1:6" x14ac:dyDescent="0.3">
      <c r="A37" s="3" t="s">
        <v>201</v>
      </c>
      <c r="B37" s="3" t="s">
        <v>601</v>
      </c>
      <c r="C37" s="1" t="s">
        <v>40</v>
      </c>
      <c r="D37" s="7" t="s">
        <v>617</v>
      </c>
      <c r="E37" s="1" t="s">
        <v>163</v>
      </c>
      <c r="F37" s="7" t="str">
        <f t="shared" si="0"/>
        <v>70-B3-D5-1F-31-AA-03-35_OU_DUIS5.0</v>
      </c>
    </row>
    <row r="38" spans="1:6" x14ac:dyDescent="0.3">
      <c r="A38" s="3" t="s">
        <v>202</v>
      </c>
      <c r="B38" s="3" t="s">
        <v>609</v>
      </c>
      <c r="C38" s="1" t="s">
        <v>604</v>
      </c>
      <c r="D38" s="7" t="s">
        <v>618</v>
      </c>
      <c r="E38" s="1" t="s">
        <v>163</v>
      </c>
      <c r="F38" s="7" t="str">
        <f t="shared" si="0"/>
        <v>70-B3-D5-1F-31-AA-03-36_IS1_DUIS5.1</v>
      </c>
    </row>
    <row r="39" spans="1:6" x14ac:dyDescent="0.3">
      <c r="A39" s="3" t="s">
        <v>207</v>
      </c>
      <c r="B39" s="3" t="s">
        <v>610</v>
      </c>
      <c r="C39" s="1" t="s">
        <v>605</v>
      </c>
      <c r="D39" s="7" t="s">
        <v>618</v>
      </c>
      <c r="E39" s="1" t="s">
        <v>163</v>
      </c>
      <c r="F39" s="7" t="str">
        <f t="shared" si="0"/>
        <v>70-B3-D5-1F-31-AA-03-37_IS2_DUIS5.1</v>
      </c>
    </row>
    <row r="40" spans="1:6" x14ac:dyDescent="0.3">
      <c r="A40" s="3" t="s">
        <v>209</v>
      </c>
      <c r="B40" s="3" t="s">
        <v>593</v>
      </c>
      <c r="C40" s="1" t="s">
        <v>24</v>
      </c>
      <c r="D40" s="7" t="s">
        <v>618</v>
      </c>
      <c r="E40" s="1" t="s">
        <v>163</v>
      </c>
      <c r="F40" s="7" t="str">
        <f t="shared" si="0"/>
        <v>70-B3-D5-1F-31-AA-03-38_ES_DUIS5.1</v>
      </c>
    </row>
    <row r="41" spans="1:6" x14ac:dyDescent="0.3">
      <c r="A41" s="3" t="s">
        <v>210</v>
      </c>
      <c r="B41" s="3" t="s">
        <v>611</v>
      </c>
      <c r="C41" s="1" t="s">
        <v>607</v>
      </c>
      <c r="D41" s="7" t="s">
        <v>618</v>
      </c>
      <c r="E41" s="1" t="s">
        <v>163</v>
      </c>
      <c r="F41" s="7" t="str">
        <f t="shared" si="0"/>
        <v>70-B3-D5-1F-31-AA-03-39_GS1_DUIS5.1</v>
      </c>
    </row>
    <row r="42" spans="1:6" x14ac:dyDescent="0.3">
      <c r="A42" s="3" t="s">
        <v>215</v>
      </c>
      <c r="B42" s="3" t="s">
        <v>612</v>
      </c>
      <c r="C42" s="1" t="s">
        <v>606</v>
      </c>
      <c r="D42" s="7" t="s">
        <v>618</v>
      </c>
      <c r="E42" s="1" t="s">
        <v>163</v>
      </c>
      <c r="F42" s="7" t="str">
        <f t="shared" si="0"/>
        <v>70-B3-D5-1F-31-AA-03-40_GS2_DUIS5.1</v>
      </c>
    </row>
    <row r="43" spans="1:6" x14ac:dyDescent="0.3">
      <c r="A43" s="3" t="s">
        <v>216</v>
      </c>
      <c r="B43" s="3" t="s">
        <v>594</v>
      </c>
      <c r="C43" s="1" t="s">
        <v>33</v>
      </c>
      <c r="D43" s="7" t="s">
        <v>618</v>
      </c>
      <c r="E43" s="1" t="s">
        <v>163</v>
      </c>
      <c r="F43" s="7" t="str">
        <f t="shared" si="0"/>
        <v>70-B3-D5-1F-31-AA-03-41_ED_DUIS5.1</v>
      </c>
    </row>
    <row r="44" spans="1:6" x14ac:dyDescent="0.3">
      <c r="A44" s="3" t="s">
        <v>217</v>
      </c>
      <c r="B44" s="3" t="s">
        <v>596</v>
      </c>
      <c r="C44" s="1" t="s">
        <v>35</v>
      </c>
      <c r="D44" s="7" t="s">
        <v>618</v>
      </c>
      <c r="E44" s="1" t="s">
        <v>163</v>
      </c>
      <c r="F44" s="7" t="str">
        <f t="shared" si="0"/>
        <v>70-B3-D5-1F-31-AA-03-42_GT_DUIS5.1</v>
      </c>
    </row>
    <row r="45" spans="1:6" x14ac:dyDescent="0.3">
      <c r="A45" s="3" t="s">
        <v>218</v>
      </c>
      <c r="B45" s="3" t="s">
        <v>597</v>
      </c>
      <c r="C45" s="1" t="s">
        <v>37</v>
      </c>
      <c r="D45" s="7" t="s">
        <v>618</v>
      </c>
      <c r="E45" s="1" t="s">
        <v>163</v>
      </c>
      <c r="F45" s="7" t="str">
        <f t="shared" si="0"/>
        <v>70-B3-D5-1F-31-AA-03-43_RSA_DUIS5.1</v>
      </c>
    </row>
    <row r="46" spans="1:6" x14ac:dyDescent="0.3">
      <c r="A46" s="3" t="s">
        <v>219</v>
      </c>
      <c r="B46" s="3" t="s">
        <v>601</v>
      </c>
      <c r="C46" s="1" t="s">
        <v>40</v>
      </c>
      <c r="D46" s="7" t="s">
        <v>618</v>
      </c>
      <c r="E46" s="1" t="s">
        <v>163</v>
      </c>
      <c r="F46" s="7" t="str">
        <f t="shared" si="0"/>
        <v>70-B3-D5-1F-31-AA-03-44_OU_DUIS5.1</v>
      </c>
    </row>
    <row r="47" spans="1:6" x14ac:dyDescent="0.3">
      <c r="A47" s="3" t="s">
        <v>220</v>
      </c>
      <c r="B47" s="3" t="s">
        <v>609</v>
      </c>
      <c r="C47" s="1" t="s">
        <v>604</v>
      </c>
      <c r="D47" s="7" t="s">
        <v>619</v>
      </c>
      <c r="E47" s="1" t="s">
        <v>163</v>
      </c>
      <c r="F47" s="7" t="str">
        <f t="shared" si="0"/>
        <v>70-B3-D5-1F-31-AA-03-45_IS1_DUIS5.2</v>
      </c>
    </row>
    <row r="48" spans="1:6" x14ac:dyDescent="0.3">
      <c r="A48" s="3" t="s">
        <v>221</v>
      </c>
      <c r="B48" s="3" t="s">
        <v>610</v>
      </c>
      <c r="C48" s="1" t="s">
        <v>605</v>
      </c>
      <c r="D48" s="7" t="s">
        <v>619</v>
      </c>
      <c r="E48" s="1" t="s">
        <v>163</v>
      </c>
      <c r="F48" s="7" t="str">
        <f t="shared" si="0"/>
        <v>70-B3-D5-1F-31-AA-03-46_IS2_DUIS5.2</v>
      </c>
    </row>
    <row r="49" spans="1:6" x14ac:dyDescent="0.3">
      <c r="A49" s="3" t="s">
        <v>222</v>
      </c>
      <c r="B49" s="3" t="s">
        <v>593</v>
      </c>
      <c r="C49" s="1" t="s">
        <v>24</v>
      </c>
      <c r="D49" s="7" t="s">
        <v>619</v>
      </c>
      <c r="E49" s="1" t="s">
        <v>163</v>
      </c>
      <c r="F49" s="7" t="str">
        <f t="shared" si="0"/>
        <v>70-B3-D5-1F-31-AA-03-47_ES_DUIS5.2</v>
      </c>
    </row>
    <row r="50" spans="1:6" x14ac:dyDescent="0.3">
      <c r="A50" s="3" t="s">
        <v>223</v>
      </c>
      <c r="B50" s="3" t="s">
        <v>611</v>
      </c>
      <c r="C50" s="1" t="s">
        <v>607</v>
      </c>
      <c r="D50" s="7" t="s">
        <v>619</v>
      </c>
      <c r="E50" s="1" t="s">
        <v>163</v>
      </c>
      <c r="F50" s="7" t="str">
        <f t="shared" si="0"/>
        <v>70-B3-D5-1F-31-AA-03-48_GS1_DUIS5.2</v>
      </c>
    </row>
    <row r="51" spans="1:6" x14ac:dyDescent="0.3">
      <c r="A51" s="3" t="s">
        <v>224</v>
      </c>
      <c r="B51" s="3" t="s">
        <v>612</v>
      </c>
      <c r="C51" s="1" t="s">
        <v>606</v>
      </c>
      <c r="D51" s="7" t="s">
        <v>619</v>
      </c>
      <c r="E51" s="1" t="s">
        <v>163</v>
      </c>
      <c r="F51" s="7" t="str">
        <f t="shared" si="0"/>
        <v>70-B3-D5-1F-31-AA-03-49_GS2_DUIS5.2</v>
      </c>
    </row>
    <row r="52" spans="1:6" x14ac:dyDescent="0.3">
      <c r="A52" s="3" t="s">
        <v>225</v>
      </c>
      <c r="B52" s="3" t="s">
        <v>594</v>
      </c>
      <c r="C52" s="1" t="s">
        <v>33</v>
      </c>
      <c r="D52" s="7" t="s">
        <v>619</v>
      </c>
      <c r="E52" s="1" t="s">
        <v>163</v>
      </c>
      <c r="F52" s="7" t="str">
        <f t="shared" si="0"/>
        <v>70-B3-D5-1F-31-AA-03-50_ED_DUIS5.2</v>
      </c>
    </row>
    <row r="53" spans="1:6" x14ac:dyDescent="0.3">
      <c r="A53" s="3" t="s">
        <v>226</v>
      </c>
      <c r="B53" s="3" t="s">
        <v>596</v>
      </c>
      <c r="C53" s="1" t="s">
        <v>35</v>
      </c>
      <c r="D53" s="7" t="s">
        <v>619</v>
      </c>
      <c r="E53" s="1" t="s">
        <v>163</v>
      </c>
      <c r="F53" s="7" t="str">
        <f t="shared" si="0"/>
        <v>70-B3-D5-1F-31-AA-03-51_GT_DUIS5.2</v>
      </c>
    </row>
    <row r="54" spans="1:6" x14ac:dyDescent="0.3">
      <c r="A54" s="3" t="s">
        <v>227</v>
      </c>
      <c r="B54" s="3" t="s">
        <v>597</v>
      </c>
      <c r="C54" s="1" t="s">
        <v>37</v>
      </c>
      <c r="D54" s="7" t="s">
        <v>619</v>
      </c>
      <c r="E54" s="1" t="s">
        <v>163</v>
      </c>
      <c r="F54" s="7" t="str">
        <f t="shared" si="0"/>
        <v>70-B3-D5-1F-31-AA-03-52_RSA_DUIS5.2</v>
      </c>
    </row>
    <row r="55" spans="1:6" x14ac:dyDescent="0.3">
      <c r="A55" s="3" t="s">
        <v>228</v>
      </c>
      <c r="B55" s="3" t="s">
        <v>601</v>
      </c>
      <c r="C55" s="1" t="s">
        <v>40</v>
      </c>
      <c r="D55" s="7" t="s">
        <v>619</v>
      </c>
      <c r="E55" s="1" t="s">
        <v>163</v>
      </c>
      <c r="F55" s="7" t="str">
        <f t="shared" si="0"/>
        <v>70-B3-D5-1F-31-AA-03-53_OU_DUIS5.2</v>
      </c>
    </row>
    <row r="56" spans="1:6" x14ac:dyDescent="0.3">
      <c r="A56" s="3" t="s">
        <v>229</v>
      </c>
      <c r="B56" s="3" t="s">
        <v>609</v>
      </c>
      <c r="C56" s="1" t="s">
        <v>604</v>
      </c>
      <c r="D56" s="7" t="s">
        <v>620</v>
      </c>
      <c r="E56" s="1" t="s">
        <v>163</v>
      </c>
      <c r="F56" s="7" t="str">
        <f t="shared" si="0"/>
        <v>70-B3-D5-1F-31-AA-03-54_IS1_DUIS5.3</v>
      </c>
    </row>
    <row r="57" spans="1:6" x14ac:dyDescent="0.3">
      <c r="A57" s="3" t="s">
        <v>230</v>
      </c>
      <c r="B57" s="3" t="s">
        <v>610</v>
      </c>
      <c r="C57" s="1" t="s">
        <v>605</v>
      </c>
      <c r="D57" s="7" t="s">
        <v>620</v>
      </c>
      <c r="E57" s="1" t="s">
        <v>163</v>
      </c>
      <c r="F57" s="7" t="str">
        <f t="shared" si="0"/>
        <v>70-B3-D5-1F-31-AA-03-55_IS2_DUIS5.3</v>
      </c>
    </row>
    <row r="58" spans="1:6" x14ac:dyDescent="0.3">
      <c r="A58" s="3" t="s">
        <v>231</v>
      </c>
      <c r="B58" s="3" t="s">
        <v>593</v>
      </c>
      <c r="C58" s="1" t="s">
        <v>24</v>
      </c>
      <c r="D58" s="7" t="s">
        <v>620</v>
      </c>
      <c r="E58" s="1" t="s">
        <v>163</v>
      </c>
      <c r="F58" s="7" t="str">
        <f t="shared" si="0"/>
        <v>70-B3-D5-1F-31-AA-03-56_ES_DUIS5.3</v>
      </c>
    </row>
    <row r="59" spans="1:6" x14ac:dyDescent="0.3">
      <c r="A59" s="3" t="s">
        <v>232</v>
      </c>
      <c r="B59" s="3" t="s">
        <v>611</v>
      </c>
      <c r="C59" s="1" t="s">
        <v>607</v>
      </c>
      <c r="D59" s="7" t="s">
        <v>620</v>
      </c>
      <c r="E59" s="1" t="s">
        <v>163</v>
      </c>
      <c r="F59" s="7" t="str">
        <f t="shared" si="0"/>
        <v>70-B3-D5-1F-31-AA-03-57_GS1_DUIS5.3</v>
      </c>
    </row>
    <row r="60" spans="1:6" x14ac:dyDescent="0.3">
      <c r="A60" s="3" t="s">
        <v>233</v>
      </c>
      <c r="B60" s="3" t="s">
        <v>612</v>
      </c>
      <c r="C60" s="1" t="s">
        <v>606</v>
      </c>
      <c r="D60" s="7" t="s">
        <v>620</v>
      </c>
      <c r="E60" s="1" t="s">
        <v>163</v>
      </c>
      <c r="F60" s="7" t="str">
        <f t="shared" si="0"/>
        <v>70-B3-D5-1F-31-AA-03-58_GS2_DUIS5.3</v>
      </c>
    </row>
    <row r="61" spans="1:6" x14ac:dyDescent="0.3">
      <c r="A61" s="3" t="s">
        <v>234</v>
      </c>
      <c r="B61" s="3" t="s">
        <v>594</v>
      </c>
      <c r="C61" s="1" t="s">
        <v>33</v>
      </c>
      <c r="D61" s="7" t="s">
        <v>620</v>
      </c>
      <c r="E61" s="1" t="s">
        <v>163</v>
      </c>
      <c r="F61" s="7" t="str">
        <f t="shared" si="0"/>
        <v>70-B3-D5-1F-31-AA-03-59_ED_DUIS5.3</v>
      </c>
    </row>
    <row r="62" spans="1:6" x14ac:dyDescent="0.3">
      <c r="A62" s="3" t="s">
        <v>235</v>
      </c>
      <c r="B62" s="3" t="s">
        <v>596</v>
      </c>
      <c r="C62" s="1" t="s">
        <v>35</v>
      </c>
      <c r="D62" s="7" t="s">
        <v>620</v>
      </c>
      <c r="E62" s="1" t="s">
        <v>163</v>
      </c>
      <c r="F62" s="7" t="str">
        <f t="shared" si="0"/>
        <v>70-B3-D5-1F-31-AA-03-60_GT_DUIS5.3</v>
      </c>
    </row>
    <row r="63" spans="1:6" x14ac:dyDescent="0.3">
      <c r="A63" s="3" t="s">
        <v>236</v>
      </c>
      <c r="B63" s="3" t="s">
        <v>597</v>
      </c>
      <c r="C63" s="1" t="s">
        <v>37</v>
      </c>
      <c r="D63" s="7" t="s">
        <v>620</v>
      </c>
      <c r="E63" s="1" t="s">
        <v>163</v>
      </c>
      <c r="F63" s="7" t="str">
        <f t="shared" si="0"/>
        <v>70-B3-D5-1F-31-AA-03-61_RSA_DUIS5.3</v>
      </c>
    </row>
    <row r="64" spans="1:6" x14ac:dyDescent="0.3">
      <c r="A64" s="3" t="s">
        <v>237</v>
      </c>
      <c r="B64" s="3" t="s">
        <v>601</v>
      </c>
      <c r="C64" s="1" t="s">
        <v>40</v>
      </c>
      <c r="D64" s="7" t="s">
        <v>620</v>
      </c>
      <c r="E64" s="1" t="s">
        <v>163</v>
      </c>
      <c r="F64" s="7" t="str">
        <f t="shared" si="0"/>
        <v>70-B3-D5-1F-31-AA-03-62_OU_DUIS5.3</v>
      </c>
    </row>
    <row r="65" spans="1:6" x14ac:dyDescent="0.3">
      <c r="A65" s="3" t="s">
        <v>238</v>
      </c>
      <c r="B65" s="3" t="s">
        <v>602</v>
      </c>
      <c r="C65" s="1" t="s">
        <v>96</v>
      </c>
      <c r="D65" s="7" t="s">
        <v>620</v>
      </c>
      <c r="E65" s="1" t="s">
        <v>163</v>
      </c>
      <c r="F65" s="7" t="str">
        <f t="shared" si="0"/>
        <v>70-B3-D5-1F-31-AA-03-63_MDR_DUIS5.3</v>
      </c>
    </row>
    <row r="66" spans="1:6" x14ac:dyDescent="0.3">
      <c r="A66" s="3" t="s">
        <v>239</v>
      </c>
      <c r="B66" s="3" t="s">
        <v>609</v>
      </c>
      <c r="C66" s="1" t="s">
        <v>604</v>
      </c>
      <c r="D66" s="7" t="s">
        <v>614</v>
      </c>
      <c r="E66" s="1" t="s">
        <v>240</v>
      </c>
      <c r="F66" s="7" t="str">
        <f t="shared" si="0"/>
        <v>70-B3-D5-1F-31-AA-04-00_IS1_DUIS3.0</v>
      </c>
    </row>
    <row r="67" spans="1:6" x14ac:dyDescent="0.3">
      <c r="A67" s="3" t="s">
        <v>241</v>
      </c>
      <c r="B67" s="3" t="s">
        <v>610</v>
      </c>
      <c r="C67" s="1" t="s">
        <v>605</v>
      </c>
      <c r="D67" s="7" t="s">
        <v>614</v>
      </c>
      <c r="E67" s="1" t="s">
        <v>240</v>
      </c>
      <c r="F67" s="7" t="str">
        <f t="shared" ref="F67:F130" si="1">_xlfn.CONCAT(A67,"_",C67,"_",D67)</f>
        <v>70-B3-D5-1F-31-AA-04-01_IS2_DUIS3.0</v>
      </c>
    </row>
    <row r="68" spans="1:6" x14ac:dyDescent="0.3">
      <c r="A68" s="3" t="s">
        <v>242</v>
      </c>
      <c r="B68" s="3" t="s">
        <v>593</v>
      </c>
      <c r="C68" s="1" t="s">
        <v>24</v>
      </c>
      <c r="D68" s="7" t="s">
        <v>614</v>
      </c>
      <c r="E68" s="1" t="s">
        <v>240</v>
      </c>
      <c r="F68" s="7" t="str">
        <f t="shared" si="1"/>
        <v>70-B3-D5-1F-31-AA-04-02_ES_DUIS3.0</v>
      </c>
    </row>
    <row r="69" spans="1:6" x14ac:dyDescent="0.3">
      <c r="A69" s="3" t="s">
        <v>243</v>
      </c>
      <c r="B69" s="3" t="s">
        <v>611</v>
      </c>
      <c r="C69" s="1" t="s">
        <v>607</v>
      </c>
      <c r="D69" s="7" t="s">
        <v>614</v>
      </c>
      <c r="E69" s="1" t="s">
        <v>240</v>
      </c>
      <c r="F69" s="7" t="str">
        <f t="shared" si="1"/>
        <v>70-B3-D5-1F-31-AA-04-03_GS1_DUIS3.0</v>
      </c>
    </row>
    <row r="70" spans="1:6" x14ac:dyDescent="0.3">
      <c r="A70" s="3" t="s">
        <v>244</v>
      </c>
      <c r="B70" s="3" t="s">
        <v>612</v>
      </c>
      <c r="C70" s="1" t="s">
        <v>606</v>
      </c>
      <c r="D70" s="7" t="s">
        <v>614</v>
      </c>
      <c r="E70" s="1" t="s">
        <v>240</v>
      </c>
      <c r="F70" s="7" t="str">
        <f t="shared" si="1"/>
        <v>70-B3-D5-1F-31-AA-04-04_GS2_DUIS3.0</v>
      </c>
    </row>
    <row r="71" spans="1:6" x14ac:dyDescent="0.3">
      <c r="A71" s="3" t="s">
        <v>245</v>
      </c>
      <c r="B71" s="3" t="s">
        <v>594</v>
      </c>
      <c r="C71" s="1" t="s">
        <v>33</v>
      </c>
      <c r="D71" s="7" t="s">
        <v>614</v>
      </c>
      <c r="E71" s="1" t="s">
        <v>240</v>
      </c>
      <c r="F71" s="7" t="str">
        <f t="shared" si="1"/>
        <v>70-B3-D5-1F-31-AA-04-05_ED_DUIS3.0</v>
      </c>
    </row>
    <row r="72" spans="1:6" x14ac:dyDescent="0.3">
      <c r="A72" s="3" t="s">
        <v>246</v>
      </c>
      <c r="B72" s="3" t="s">
        <v>596</v>
      </c>
      <c r="C72" s="1" t="s">
        <v>35</v>
      </c>
      <c r="D72" s="7" t="s">
        <v>614</v>
      </c>
      <c r="E72" s="1" t="s">
        <v>240</v>
      </c>
      <c r="F72" s="7" t="str">
        <f t="shared" si="1"/>
        <v>70-B3-D5-1F-31-AA-04-06_GT_DUIS3.0</v>
      </c>
    </row>
    <row r="73" spans="1:6" x14ac:dyDescent="0.3">
      <c r="A73" s="3" t="s">
        <v>247</v>
      </c>
      <c r="B73" s="3" t="s">
        <v>597</v>
      </c>
      <c r="C73" s="1" t="s">
        <v>37</v>
      </c>
      <c r="D73" s="7" t="s">
        <v>614</v>
      </c>
      <c r="E73" s="1" t="s">
        <v>240</v>
      </c>
      <c r="F73" s="7" t="str">
        <f t="shared" si="1"/>
        <v>70-B3-D5-1F-31-AA-04-07_RSA_DUIS3.0</v>
      </c>
    </row>
    <row r="74" spans="1:6" x14ac:dyDescent="0.3">
      <c r="A74" s="3" t="s">
        <v>248</v>
      </c>
      <c r="B74" s="3" t="s">
        <v>601</v>
      </c>
      <c r="C74" s="1" t="s">
        <v>40</v>
      </c>
      <c r="D74" s="7" t="s">
        <v>614</v>
      </c>
      <c r="E74" s="1" t="s">
        <v>240</v>
      </c>
      <c r="F74" s="7" t="str">
        <f t="shared" si="1"/>
        <v>70-B3-D5-1F-31-AA-04-08_OU_DUIS3.0</v>
      </c>
    </row>
    <row r="75" spans="1:6" x14ac:dyDescent="0.3">
      <c r="A75" s="3" t="s">
        <v>249</v>
      </c>
      <c r="B75" s="3" t="s">
        <v>609</v>
      </c>
      <c r="C75" s="1" t="s">
        <v>604</v>
      </c>
      <c r="D75" s="7" t="s">
        <v>615</v>
      </c>
      <c r="E75" s="1" t="s">
        <v>240</v>
      </c>
      <c r="F75" s="7" t="str">
        <f t="shared" si="1"/>
        <v>70-B3-D5-1F-31-AA-04-09_IS1_DUIS3.1</v>
      </c>
    </row>
    <row r="76" spans="1:6" x14ac:dyDescent="0.3">
      <c r="A76" s="3" t="s">
        <v>250</v>
      </c>
      <c r="B76" s="3" t="s">
        <v>610</v>
      </c>
      <c r="C76" s="1" t="s">
        <v>605</v>
      </c>
      <c r="D76" s="7" t="s">
        <v>615</v>
      </c>
      <c r="E76" s="1" t="s">
        <v>240</v>
      </c>
      <c r="F76" s="7" t="str">
        <f t="shared" si="1"/>
        <v>70-B3-D5-1F-31-AA-04-10_IS2_DUIS3.1</v>
      </c>
    </row>
    <row r="77" spans="1:6" x14ac:dyDescent="0.3">
      <c r="A77" s="3" t="s">
        <v>251</v>
      </c>
      <c r="B77" s="3" t="s">
        <v>593</v>
      </c>
      <c r="C77" s="1" t="s">
        <v>24</v>
      </c>
      <c r="D77" s="7" t="s">
        <v>615</v>
      </c>
      <c r="E77" s="1" t="s">
        <v>240</v>
      </c>
      <c r="F77" s="7" t="str">
        <f t="shared" si="1"/>
        <v>70-B3-D5-1F-31-AA-04-11_ES_DUIS3.1</v>
      </c>
    </row>
    <row r="78" spans="1:6" x14ac:dyDescent="0.3">
      <c r="A78" s="3" t="s">
        <v>252</v>
      </c>
      <c r="B78" s="3" t="s">
        <v>611</v>
      </c>
      <c r="C78" s="1" t="s">
        <v>607</v>
      </c>
      <c r="D78" s="7" t="s">
        <v>615</v>
      </c>
      <c r="E78" s="1" t="s">
        <v>240</v>
      </c>
      <c r="F78" s="7" t="str">
        <f t="shared" si="1"/>
        <v>70-B3-D5-1F-31-AA-04-12_GS1_DUIS3.1</v>
      </c>
    </row>
    <row r="79" spans="1:6" x14ac:dyDescent="0.3">
      <c r="A79" s="3" t="s">
        <v>253</v>
      </c>
      <c r="B79" s="3" t="s">
        <v>612</v>
      </c>
      <c r="C79" s="1" t="s">
        <v>606</v>
      </c>
      <c r="D79" s="7" t="s">
        <v>615</v>
      </c>
      <c r="E79" s="1" t="s">
        <v>240</v>
      </c>
      <c r="F79" s="7" t="str">
        <f t="shared" si="1"/>
        <v>70-B3-D5-1F-31-AA-04-13_GS2_DUIS3.1</v>
      </c>
    </row>
    <row r="80" spans="1:6" x14ac:dyDescent="0.3">
      <c r="A80" s="3" t="s">
        <v>254</v>
      </c>
      <c r="B80" s="3" t="s">
        <v>594</v>
      </c>
      <c r="C80" s="1" t="s">
        <v>33</v>
      </c>
      <c r="D80" s="7" t="s">
        <v>615</v>
      </c>
      <c r="E80" s="1" t="s">
        <v>240</v>
      </c>
      <c r="F80" s="7" t="str">
        <f t="shared" si="1"/>
        <v>70-B3-D5-1F-31-AA-04-14_ED_DUIS3.1</v>
      </c>
    </row>
    <row r="81" spans="1:6" x14ac:dyDescent="0.3">
      <c r="A81" s="3" t="s">
        <v>255</v>
      </c>
      <c r="B81" s="3" t="s">
        <v>596</v>
      </c>
      <c r="C81" s="1" t="s">
        <v>35</v>
      </c>
      <c r="D81" s="7" t="s">
        <v>615</v>
      </c>
      <c r="E81" s="1" t="s">
        <v>240</v>
      </c>
      <c r="F81" s="7" t="str">
        <f t="shared" si="1"/>
        <v>70-B3-D5-1F-31-AA-04-15_GT_DUIS3.1</v>
      </c>
    </row>
    <row r="82" spans="1:6" x14ac:dyDescent="0.3">
      <c r="A82" s="3" t="s">
        <v>256</v>
      </c>
      <c r="B82" s="3" t="s">
        <v>597</v>
      </c>
      <c r="C82" s="1" t="s">
        <v>37</v>
      </c>
      <c r="D82" s="7" t="s">
        <v>615</v>
      </c>
      <c r="E82" s="1" t="s">
        <v>240</v>
      </c>
      <c r="F82" s="7" t="str">
        <f t="shared" si="1"/>
        <v>70-B3-D5-1F-31-AA-04-16_RSA_DUIS3.1</v>
      </c>
    </row>
    <row r="83" spans="1:6" x14ac:dyDescent="0.3">
      <c r="A83" s="3" t="s">
        <v>257</v>
      </c>
      <c r="B83" s="3" t="s">
        <v>601</v>
      </c>
      <c r="C83" s="1" t="s">
        <v>40</v>
      </c>
      <c r="D83" s="7" t="s">
        <v>615</v>
      </c>
      <c r="E83" s="1" t="s">
        <v>240</v>
      </c>
      <c r="F83" s="7" t="str">
        <f t="shared" si="1"/>
        <v>70-B3-D5-1F-31-AA-04-17_OU_DUIS3.1</v>
      </c>
    </row>
    <row r="84" spans="1:6" x14ac:dyDescent="0.3">
      <c r="A84" s="3" t="s">
        <v>258</v>
      </c>
      <c r="B84" s="3" t="s">
        <v>609</v>
      </c>
      <c r="C84" s="1" t="s">
        <v>604</v>
      </c>
      <c r="D84" s="7" t="s">
        <v>616</v>
      </c>
      <c r="E84" s="1" t="s">
        <v>240</v>
      </c>
      <c r="F84" s="7" t="str">
        <f t="shared" si="1"/>
        <v>70-B3-D5-1F-31-AA-04-18_IS1_DUIS4.0</v>
      </c>
    </row>
    <row r="85" spans="1:6" x14ac:dyDescent="0.3">
      <c r="A85" s="3" t="s">
        <v>259</v>
      </c>
      <c r="B85" s="3" t="s">
        <v>610</v>
      </c>
      <c r="C85" s="1" t="s">
        <v>605</v>
      </c>
      <c r="D85" s="7" t="s">
        <v>616</v>
      </c>
      <c r="E85" s="1" t="s">
        <v>240</v>
      </c>
      <c r="F85" s="7" t="str">
        <f t="shared" si="1"/>
        <v>70-B3-D5-1F-31-AA-04-19_IS2_DUIS4.0</v>
      </c>
    </row>
    <row r="86" spans="1:6" x14ac:dyDescent="0.3">
      <c r="A86" s="3" t="s">
        <v>260</v>
      </c>
      <c r="B86" s="3" t="s">
        <v>593</v>
      </c>
      <c r="C86" s="1" t="s">
        <v>24</v>
      </c>
      <c r="D86" s="7" t="s">
        <v>616</v>
      </c>
      <c r="E86" s="1" t="s">
        <v>240</v>
      </c>
      <c r="F86" s="7" t="str">
        <f t="shared" si="1"/>
        <v>70-B3-D5-1F-31-AA-04-20_ES_DUIS4.0</v>
      </c>
    </row>
    <row r="87" spans="1:6" x14ac:dyDescent="0.3">
      <c r="A87" s="3" t="s">
        <v>261</v>
      </c>
      <c r="B87" s="3" t="s">
        <v>611</v>
      </c>
      <c r="C87" s="1" t="s">
        <v>607</v>
      </c>
      <c r="D87" s="7" t="s">
        <v>616</v>
      </c>
      <c r="E87" s="1" t="s">
        <v>240</v>
      </c>
      <c r="F87" s="7" t="str">
        <f t="shared" si="1"/>
        <v>70-B3-D5-1F-31-AA-04-21_GS1_DUIS4.0</v>
      </c>
    </row>
    <row r="88" spans="1:6" x14ac:dyDescent="0.3">
      <c r="A88" s="3" t="s">
        <v>262</v>
      </c>
      <c r="B88" s="3" t="s">
        <v>612</v>
      </c>
      <c r="C88" s="1" t="s">
        <v>606</v>
      </c>
      <c r="D88" s="7" t="s">
        <v>616</v>
      </c>
      <c r="E88" s="1" t="s">
        <v>240</v>
      </c>
      <c r="F88" s="7" t="str">
        <f t="shared" si="1"/>
        <v>70-B3-D5-1F-31-AA-04-22_GS2_DUIS4.0</v>
      </c>
    </row>
    <row r="89" spans="1:6" x14ac:dyDescent="0.3">
      <c r="A89" s="3" t="s">
        <v>263</v>
      </c>
      <c r="B89" s="3" t="s">
        <v>594</v>
      </c>
      <c r="C89" s="1" t="s">
        <v>33</v>
      </c>
      <c r="D89" s="7" t="s">
        <v>616</v>
      </c>
      <c r="E89" s="1" t="s">
        <v>240</v>
      </c>
      <c r="F89" s="7" t="str">
        <f t="shared" si="1"/>
        <v>70-B3-D5-1F-31-AA-04-23_ED_DUIS4.0</v>
      </c>
    </row>
    <row r="90" spans="1:6" x14ac:dyDescent="0.3">
      <c r="A90" s="3" t="s">
        <v>264</v>
      </c>
      <c r="B90" s="3" t="s">
        <v>596</v>
      </c>
      <c r="C90" s="1" t="s">
        <v>35</v>
      </c>
      <c r="D90" s="7" t="s">
        <v>616</v>
      </c>
      <c r="E90" s="1" t="s">
        <v>240</v>
      </c>
      <c r="F90" s="7" t="str">
        <f t="shared" si="1"/>
        <v>70-B3-D5-1F-31-AA-04-24_GT_DUIS4.0</v>
      </c>
    </row>
    <row r="91" spans="1:6" x14ac:dyDescent="0.3">
      <c r="A91" s="3" t="s">
        <v>265</v>
      </c>
      <c r="B91" s="3" t="s">
        <v>597</v>
      </c>
      <c r="C91" s="1" t="s">
        <v>37</v>
      </c>
      <c r="D91" s="7" t="s">
        <v>616</v>
      </c>
      <c r="E91" s="1" t="s">
        <v>240</v>
      </c>
      <c r="F91" s="7" t="str">
        <f t="shared" si="1"/>
        <v>70-B3-D5-1F-31-AA-04-25_RSA_DUIS4.0</v>
      </c>
    </row>
    <row r="92" spans="1:6" x14ac:dyDescent="0.3">
      <c r="A92" s="3" t="s">
        <v>266</v>
      </c>
      <c r="B92" s="3" t="s">
        <v>601</v>
      </c>
      <c r="C92" s="1" t="s">
        <v>40</v>
      </c>
      <c r="D92" s="7" t="s">
        <v>616</v>
      </c>
      <c r="E92" s="1" t="s">
        <v>240</v>
      </c>
      <c r="F92" s="7" t="str">
        <f t="shared" si="1"/>
        <v>70-B3-D5-1F-31-AA-04-26_OU_DUIS4.0</v>
      </c>
    </row>
    <row r="93" spans="1:6" x14ac:dyDescent="0.3">
      <c r="A93" s="3" t="s">
        <v>267</v>
      </c>
      <c r="B93" s="3" t="s">
        <v>609</v>
      </c>
      <c r="C93" s="1" t="s">
        <v>604</v>
      </c>
      <c r="D93" s="7" t="s">
        <v>617</v>
      </c>
      <c r="E93" s="1" t="s">
        <v>240</v>
      </c>
      <c r="F93" s="7" t="str">
        <f t="shared" si="1"/>
        <v>70-B3-D5-1F-31-AA-04-27_IS1_DUIS5.0</v>
      </c>
    </row>
    <row r="94" spans="1:6" x14ac:dyDescent="0.3">
      <c r="A94" s="3" t="s">
        <v>268</v>
      </c>
      <c r="B94" s="3" t="s">
        <v>610</v>
      </c>
      <c r="C94" s="1" t="s">
        <v>605</v>
      </c>
      <c r="D94" s="7" t="s">
        <v>617</v>
      </c>
      <c r="E94" s="1" t="s">
        <v>240</v>
      </c>
      <c r="F94" s="7" t="str">
        <f t="shared" si="1"/>
        <v>70-B3-D5-1F-31-AA-04-28_IS2_DUIS5.0</v>
      </c>
    </row>
    <row r="95" spans="1:6" x14ac:dyDescent="0.3">
      <c r="A95" s="3" t="s">
        <v>269</v>
      </c>
      <c r="B95" s="3" t="s">
        <v>593</v>
      </c>
      <c r="C95" s="1" t="s">
        <v>24</v>
      </c>
      <c r="D95" s="7" t="s">
        <v>617</v>
      </c>
      <c r="E95" s="1" t="s">
        <v>240</v>
      </c>
      <c r="F95" s="7" t="str">
        <f t="shared" si="1"/>
        <v>70-B3-D5-1F-31-AA-04-29_ES_DUIS5.0</v>
      </c>
    </row>
    <row r="96" spans="1:6" x14ac:dyDescent="0.3">
      <c r="A96" s="3" t="s">
        <v>270</v>
      </c>
      <c r="B96" s="3" t="s">
        <v>611</v>
      </c>
      <c r="C96" s="1" t="s">
        <v>607</v>
      </c>
      <c r="D96" s="7" t="s">
        <v>617</v>
      </c>
      <c r="E96" s="1" t="s">
        <v>240</v>
      </c>
      <c r="F96" s="7" t="str">
        <f t="shared" si="1"/>
        <v>70-B3-D5-1F-31-AA-04-30_GS1_DUIS5.0</v>
      </c>
    </row>
    <row r="97" spans="1:6" x14ac:dyDescent="0.3">
      <c r="A97" s="3" t="s">
        <v>271</v>
      </c>
      <c r="B97" s="3" t="s">
        <v>612</v>
      </c>
      <c r="C97" s="1" t="s">
        <v>606</v>
      </c>
      <c r="D97" s="7" t="s">
        <v>617</v>
      </c>
      <c r="E97" s="1" t="s">
        <v>240</v>
      </c>
      <c r="F97" s="7" t="str">
        <f t="shared" si="1"/>
        <v>70-B3-D5-1F-31-AA-04-31_GS2_DUIS5.0</v>
      </c>
    </row>
    <row r="98" spans="1:6" x14ac:dyDescent="0.3">
      <c r="A98" s="3" t="s">
        <v>272</v>
      </c>
      <c r="B98" s="3" t="s">
        <v>594</v>
      </c>
      <c r="C98" s="1" t="s">
        <v>33</v>
      </c>
      <c r="D98" s="7" t="s">
        <v>617</v>
      </c>
      <c r="E98" s="1" t="s">
        <v>240</v>
      </c>
      <c r="F98" s="7" t="str">
        <f t="shared" si="1"/>
        <v>70-B3-D5-1F-31-AA-04-32_ED_DUIS5.0</v>
      </c>
    </row>
    <row r="99" spans="1:6" x14ac:dyDescent="0.3">
      <c r="A99" s="3" t="s">
        <v>273</v>
      </c>
      <c r="B99" s="3" t="s">
        <v>596</v>
      </c>
      <c r="C99" s="1" t="s">
        <v>35</v>
      </c>
      <c r="D99" s="7" t="s">
        <v>617</v>
      </c>
      <c r="E99" s="1" t="s">
        <v>240</v>
      </c>
      <c r="F99" s="7" t="str">
        <f t="shared" si="1"/>
        <v>70-B3-D5-1F-31-AA-04-33_GT_DUIS5.0</v>
      </c>
    </row>
    <row r="100" spans="1:6" x14ac:dyDescent="0.3">
      <c r="A100" s="3" t="s">
        <v>274</v>
      </c>
      <c r="B100" s="3" t="s">
        <v>597</v>
      </c>
      <c r="C100" s="1" t="s">
        <v>37</v>
      </c>
      <c r="D100" s="7" t="s">
        <v>617</v>
      </c>
      <c r="E100" s="1" t="s">
        <v>240</v>
      </c>
      <c r="F100" s="7" t="str">
        <f t="shared" si="1"/>
        <v>70-B3-D5-1F-31-AA-04-34_RSA_DUIS5.0</v>
      </c>
    </row>
    <row r="101" spans="1:6" x14ac:dyDescent="0.3">
      <c r="A101" s="3" t="s">
        <v>275</v>
      </c>
      <c r="B101" s="3" t="s">
        <v>601</v>
      </c>
      <c r="C101" s="1" t="s">
        <v>40</v>
      </c>
      <c r="D101" s="7" t="s">
        <v>617</v>
      </c>
      <c r="E101" s="1" t="s">
        <v>240</v>
      </c>
      <c r="F101" s="7" t="str">
        <f t="shared" si="1"/>
        <v>70-B3-D5-1F-31-AA-04-35_OU_DUIS5.0</v>
      </c>
    </row>
    <row r="102" spans="1:6" x14ac:dyDescent="0.3">
      <c r="A102" s="3" t="s">
        <v>276</v>
      </c>
      <c r="B102" s="3" t="s">
        <v>609</v>
      </c>
      <c r="C102" s="1" t="s">
        <v>604</v>
      </c>
      <c r="D102" s="7" t="s">
        <v>618</v>
      </c>
      <c r="E102" s="1" t="s">
        <v>240</v>
      </c>
      <c r="F102" s="7" t="str">
        <f t="shared" si="1"/>
        <v>70-B3-D5-1F-31-AA-04-36_IS1_DUIS5.1</v>
      </c>
    </row>
    <row r="103" spans="1:6" x14ac:dyDescent="0.3">
      <c r="A103" s="3" t="s">
        <v>285</v>
      </c>
      <c r="B103" s="3" t="s">
        <v>610</v>
      </c>
      <c r="C103" s="1" t="s">
        <v>605</v>
      </c>
      <c r="D103" s="7" t="s">
        <v>618</v>
      </c>
      <c r="E103" s="1" t="s">
        <v>240</v>
      </c>
      <c r="F103" s="7" t="str">
        <f t="shared" si="1"/>
        <v>70-B3-D5-1F-31-AA-04-37_IS2_DUIS5.1</v>
      </c>
    </row>
    <row r="104" spans="1:6" x14ac:dyDescent="0.3">
      <c r="A104" s="3" t="s">
        <v>293</v>
      </c>
      <c r="B104" s="3" t="s">
        <v>593</v>
      </c>
      <c r="C104" s="1" t="s">
        <v>24</v>
      </c>
      <c r="D104" s="7" t="s">
        <v>618</v>
      </c>
      <c r="E104" s="1" t="s">
        <v>240</v>
      </c>
      <c r="F104" s="7" t="str">
        <f t="shared" si="1"/>
        <v>70-B3-D5-1F-31-AA-04-38_ES_DUIS5.1</v>
      </c>
    </row>
    <row r="105" spans="1:6" x14ac:dyDescent="0.3">
      <c r="A105" s="3" t="s">
        <v>294</v>
      </c>
      <c r="B105" s="3" t="s">
        <v>611</v>
      </c>
      <c r="C105" s="1" t="s">
        <v>607</v>
      </c>
      <c r="D105" s="7" t="s">
        <v>618</v>
      </c>
      <c r="E105" s="1" t="s">
        <v>240</v>
      </c>
      <c r="F105" s="7" t="str">
        <f t="shared" si="1"/>
        <v>70-B3-D5-1F-31-AA-04-39_GS1_DUIS5.1</v>
      </c>
    </row>
    <row r="106" spans="1:6" x14ac:dyDescent="0.3">
      <c r="A106" s="3" t="s">
        <v>296</v>
      </c>
      <c r="B106" s="3" t="s">
        <v>612</v>
      </c>
      <c r="C106" s="1" t="s">
        <v>606</v>
      </c>
      <c r="D106" s="7" t="s">
        <v>618</v>
      </c>
      <c r="E106" s="1" t="s">
        <v>240</v>
      </c>
      <c r="F106" s="7" t="str">
        <f t="shared" si="1"/>
        <v>70-B3-D5-1F-31-AA-04-40_GS2_DUIS5.1</v>
      </c>
    </row>
    <row r="107" spans="1:6" x14ac:dyDescent="0.3">
      <c r="A107" s="3" t="s">
        <v>298</v>
      </c>
      <c r="B107" s="3" t="s">
        <v>594</v>
      </c>
      <c r="C107" s="1" t="s">
        <v>33</v>
      </c>
      <c r="D107" s="7" t="s">
        <v>618</v>
      </c>
      <c r="E107" s="1" t="s">
        <v>240</v>
      </c>
      <c r="F107" s="7" t="str">
        <f t="shared" si="1"/>
        <v>70-B3-D5-1F-31-AA-04-41_ED_DUIS5.1</v>
      </c>
    </row>
    <row r="108" spans="1:6" x14ac:dyDescent="0.3">
      <c r="A108" s="3" t="s">
        <v>304</v>
      </c>
      <c r="B108" s="3" t="s">
        <v>596</v>
      </c>
      <c r="C108" s="1" t="s">
        <v>35</v>
      </c>
      <c r="D108" s="7" t="s">
        <v>618</v>
      </c>
      <c r="E108" s="1" t="s">
        <v>240</v>
      </c>
      <c r="F108" s="7" t="str">
        <f t="shared" si="1"/>
        <v>70-B3-D5-1F-31-AA-04-42_GT_DUIS5.1</v>
      </c>
    </row>
    <row r="109" spans="1:6" x14ac:dyDescent="0.3">
      <c r="A109" s="3" t="s">
        <v>306</v>
      </c>
      <c r="B109" s="3" t="s">
        <v>597</v>
      </c>
      <c r="C109" s="1" t="s">
        <v>37</v>
      </c>
      <c r="D109" s="7" t="s">
        <v>618</v>
      </c>
      <c r="E109" s="1" t="s">
        <v>240</v>
      </c>
      <c r="F109" s="7" t="str">
        <f t="shared" si="1"/>
        <v>70-B3-D5-1F-31-AA-04-43_RSA_DUIS5.1</v>
      </c>
    </row>
    <row r="110" spans="1:6" x14ac:dyDescent="0.3">
      <c r="A110" s="3" t="s">
        <v>307</v>
      </c>
      <c r="B110" s="3" t="s">
        <v>601</v>
      </c>
      <c r="C110" s="1" t="s">
        <v>40</v>
      </c>
      <c r="D110" s="7" t="s">
        <v>618</v>
      </c>
      <c r="E110" s="1" t="s">
        <v>240</v>
      </c>
      <c r="F110" s="7" t="str">
        <f t="shared" si="1"/>
        <v>70-B3-D5-1F-31-AA-04-44_OU_DUIS5.1</v>
      </c>
    </row>
    <row r="111" spans="1:6" x14ac:dyDescent="0.3">
      <c r="A111" s="3" t="s">
        <v>308</v>
      </c>
      <c r="B111" s="3" t="s">
        <v>609</v>
      </c>
      <c r="C111" s="1" t="s">
        <v>604</v>
      </c>
      <c r="D111" s="7" t="s">
        <v>619</v>
      </c>
      <c r="E111" s="1" t="s">
        <v>240</v>
      </c>
      <c r="F111" s="7" t="str">
        <f t="shared" si="1"/>
        <v>70-B3-D5-1F-31-AA-04-45_IS1_DUIS5.2</v>
      </c>
    </row>
    <row r="112" spans="1:6" x14ac:dyDescent="0.3">
      <c r="A112" s="3" t="s">
        <v>309</v>
      </c>
      <c r="B112" s="3" t="s">
        <v>610</v>
      </c>
      <c r="C112" s="1" t="s">
        <v>605</v>
      </c>
      <c r="D112" s="7" t="s">
        <v>619</v>
      </c>
      <c r="E112" s="1" t="s">
        <v>240</v>
      </c>
      <c r="F112" s="7" t="str">
        <f t="shared" si="1"/>
        <v>70-B3-D5-1F-31-AA-04-46_IS2_DUIS5.2</v>
      </c>
    </row>
    <row r="113" spans="1:6" x14ac:dyDescent="0.3">
      <c r="A113" s="3" t="s">
        <v>310</v>
      </c>
      <c r="B113" s="3" t="s">
        <v>593</v>
      </c>
      <c r="C113" s="1" t="s">
        <v>24</v>
      </c>
      <c r="D113" s="7" t="s">
        <v>619</v>
      </c>
      <c r="E113" s="1" t="s">
        <v>240</v>
      </c>
      <c r="F113" s="7" t="str">
        <f t="shared" si="1"/>
        <v>70-B3-D5-1F-31-AA-04-47_ES_DUIS5.2</v>
      </c>
    </row>
    <row r="114" spans="1:6" x14ac:dyDescent="0.3">
      <c r="A114" s="3" t="s">
        <v>311</v>
      </c>
      <c r="B114" s="3" t="s">
        <v>611</v>
      </c>
      <c r="C114" s="1" t="s">
        <v>607</v>
      </c>
      <c r="D114" s="7" t="s">
        <v>619</v>
      </c>
      <c r="E114" s="1" t="s">
        <v>240</v>
      </c>
      <c r="F114" s="7" t="str">
        <f t="shared" si="1"/>
        <v>70-B3-D5-1F-31-AA-04-48_GS1_DUIS5.2</v>
      </c>
    </row>
    <row r="115" spans="1:6" x14ac:dyDescent="0.3">
      <c r="A115" s="3" t="s">
        <v>312</v>
      </c>
      <c r="B115" s="3" t="s">
        <v>612</v>
      </c>
      <c r="C115" s="1" t="s">
        <v>606</v>
      </c>
      <c r="D115" s="7" t="s">
        <v>619</v>
      </c>
      <c r="E115" s="1" t="s">
        <v>240</v>
      </c>
      <c r="F115" s="7" t="str">
        <f t="shared" si="1"/>
        <v>70-B3-D5-1F-31-AA-04-49_GS2_DUIS5.2</v>
      </c>
    </row>
    <row r="116" spans="1:6" x14ac:dyDescent="0.3">
      <c r="A116" s="3" t="s">
        <v>313</v>
      </c>
      <c r="B116" s="3" t="s">
        <v>594</v>
      </c>
      <c r="C116" s="1" t="s">
        <v>33</v>
      </c>
      <c r="D116" s="7" t="s">
        <v>619</v>
      </c>
      <c r="E116" s="1" t="s">
        <v>240</v>
      </c>
      <c r="F116" s="7" t="str">
        <f t="shared" si="1"/>
        <v>70-B3-D5-1F-31-AA-04-50_ED_DUIS5.2</v>
      </c>
    </row>
    <row r="117" spans="1:6" x14ac:dyDescent="0.3">
      <c r="A117" s="3" t="s">
        <v>314</v>
      </c>
      <c r="B117" s="3" t="s">
        <v>596</v>
      </c>
      <c r="C117" s="1" t="s">
        <v>35</v>
      </c>
      <c r="D117" s="7" t="s">
        <v>619</v>
      </c>
      <c r="E117" s="1" t="s">
        <v>240</v>
      </c>
      <c r="F117" s="7" t="str">
        <f t="shared" si="1"/>
        <v>70-B3-D5-1F-31-AA-04-51_GT_DUIS5.2</v>
      </c>
    </row>
    <row r="118" spans="1:6" x14ac:dyDescent="0.3">
      <c r="A118" s="3" t="s">
        <v>315</v>
      </c>
      <c r="B118" s="3" t="s">
        <v>597</v>
      </c>
      <c r="C118" s="1" t="s">
        <v>37</v>
      </c>
      <c r="D118" s="7" t="s">
        <v>619</v>
      </c>
      <c r="E118" s="1" t="s">
        <v>240</v>
      </c>
      <c r="F118" s="7" t="str">
        <f t="shared" si="1"/>
        <v>70-B3-D5-1F-31-AA-04-52_RSA_DUIS5.2</v>
      </c>
    </row>
    <row r="119" spans="1:6" x14ac:dyDescent="0.3">
      <c r="A119" s="3" t="s">
        <v>316</v>
      </c>
      <c r="B119" s="3" t="s">
        <v>601</v>
      </c>
      <c r="C119" s="1" t="s">
        <v>40</v>
      </c>
      <c r="D119" s="7" t="s">
        <v>619</v>
      </c>
      <c r="E119" s="1" t="s">
        <v>240</v>
      </c>
      <c r="F119" s="7" t="str">
        <f t="shared" si="1"/>
        <v>70-B3-D5-1F-31-AA-04-53_OU_DUIS5.2</v>
      </c>
    </row>
    <row r="120" spans="1:6" x14ac:dyDescent="0.3">
      <c r="A120" s="3" t="s">
        <v>317</v>
      </c>
      <c r="B120" s="3" t="s">
        <v>609</v>
      </c>
      <c r="C120" s="1" t="s">
        <v>604</v>
      </c>
      <c r="D120" s="7" t="s">
        <v>620</v>
      </c>
      <c r="E120" s="1" t="s">
        <v>240</v>
      </c>
      <c r="F120" s="7" t="str">
        <f t="shared" si="1"/>
        <v>70-B3-D5-1F-31-AA-04-54_IS1_DUIS5.3</v>
      </c>
    </row>
    <row r="121" spans="1:6" x14ac:dyDescent="0.3">
      <c r="A121" s="3" t="s">
        <v>324</v>
      </c>
      <c r="B121" s="3" t="s">
        <v>610</v>
      </c>
      <c r="C121" s="1" t="s">
        <v>605</v>
      </c>
      <c r="D121" s="7" t="s">
        <v>620</v>
      </c>
      <c r="E121" s="1" t="s">
        <v>240</v>
      </c>
      <c r="F121" s="7" t="str">
        <f t="shared" si="1"/>
        <v>70-B3-D5-1F-31-AA-04-55_IS2_DUIS5.3</v>
      </c>
    </row>
    <row r="122" spans="1:6" x14ac:dyDescent="0.3">
      <c r="A122" s="3" t="s">
        <v>325</v>
      </c>
      <c r="B122" s="3" t="s">
        <v>593</v>
      </c>
      <c r="C122" s="1" t="s">
        <v>24</v>
      </c>
      <c r="D122" s="7" t="s">
        <v>620</v>
      </c>
      <c r="E122" s="1" t="s">
        <v>240</v>
      </c>
      <c r="F122" s="7" t="str">
        <f t="shared" si="1"/>
        <v>70-B3-D5-1F-31-AA-04-56_ES_DUIS5.3</v>
      </c>
    </row>
    <row r="123" spans="1:6" x14ac:dyDescent="0.3">
      <c r="A123" s="3" t="s">
        <v>326</v>
      </c>
      <c r="B123" s="3" t="s">
        <v>611</v>
      </c>
      <c r="C123" s="1" t="s">
        <v>607</v>
      </c>
      <c r="D123" s="7" t="s">
        <v>620</v>
      </c>
      <c r="E123" s="1" t="s">
        <v>240</v>
      </c>
      <c r="F123" s="7" t="str">
        <f t="shared" si="1"/>
        <v>70-B3-D5-1F-31-AA-04-57_GS1_DUIS5.3</v>
      </c>
    </row>
    <row r="124" spans="1:6" x14ac:dyDescent="0.3">
      <c r="A124" s="3" t="s">
        <v>327</v>
      </c>
      <c r="B124" s="3" t="s">
        <v>612</v>
      </c>
      <c r="C124" s="1" t="s">
        <v>606</v>
      </c>
      <c r="D124" s="7" t="s">
        <v>620</v>
      </c>
      <c r="E124" s="1" t="s">
        <v>240</v>
      </c>
      <c r="F124" s="7" t="str">
        <f t="shared" si="1"/>
        <v>70-B3-D5-1F-31-AA-04-58_GS2_DUIS5.3</v>
      </c>
    </row>
    <row r="125" spans="1:6" x14ac:dyDescent="0.3">
      <c r="A125" s="3" t="s">
        <v>328</v>
      </c>
      <c r="B125" s="3" t="s">
        <v>594</v>
      </c>
      <c r="C125" s="1" t="s">
        <v>33</v>
      </c>
      <c r="D125" s="7" t="s">
        <v>620</v>
      </c>
      <c r="E125" s="1" t="s">
        <v>240</v>
      </c>
      <c r="F125" s="7" t="str">
        <f t="shared" si="1"/>
        <v>70-B3-D5-1F-31-AA-04-59_ED_DUIS5.3</v>
      </c>
    </row>
    <row r="126" spans="1:6" x14ac:dyDescent="0.3">
      <c r="A126" s="3" t="s">
        <v>329</v>
      </c>
      <c r="B126" s="3" t="s">
        <v>596</v>
      </c>
      <c r="C126" s="1" t="s">
        <v>35</v>
      </c>
      <c r="D126" s="7" t="s">
        <v>620</v>
      </c>
      <c r="E126" s="1" t="s">
        <v>240</v>
      </c>
      <c r="F126" s="7" t="str">
        <f t="shared" si="1"/>
        <v>70-B3-D5-1F-31-AA-04-60_GT_DUIS5.3</v>
      </c>
    </row>
    <row r="127" spans="1:6" x14ac:dyDescent="0.3">
      <c r="A127" s="3" t="s">
        <v>330</v>
      </c>
      <c r="B127" s="3" t="s">
        <v>597</v>
      </c>
      <c r="C127" s="1" t="s">
        <v>37</v>
      </c>
      <c r="D127" s="7" t="s">
        <v>620</v>
      </c>
      <c r="E127" s="1" t="s">
        <v>240</v>
      </c>
      <c r="F127" s="7" t="str">
        <f t="shared" si="1"/>
        <v>70-B3-D5-1F-31-AA-04-61_RSA_DUIS5.3</v>
      </c>
    </row>
    <row r="128" spans="1:6" x14ac:dyDescent="0.3">
      <c r="A128" s="3" t="s">
        <v>331</v>
      </c>
      <c r="B128" s="3" t="s">
        <v>601</v>
      </c>
      <c r="C128" s="1" t="s">
        <v>40</v>
      </c>
      <c r="D128" s="7" t="s">
        <v>620</v>
      </c>
      <c r="E128" s="1" t="s">
        <v>240</v>
      </c>
      <c r="F128" s="7" t="str">
        <f t="shared" si="1"/>
        <v>70-B3-D5-1F-31-AA-04-62_OU_DUIS5.3</v>
      </c>
    </row>
    <row r="129" spans="1:6" x14ac:dyDescent="0.3">
      <c r="A129" s="3" t="s">
        <v>332</v>
      </c>
      <c r="B129" s="3" t="s">
        <v>602</v>
      </c>
      <c r="C129" s="1" t="s">
        <v>96</v>
      </c>
      <c r="D129" s="7" t="s">
        <v>620</v>
      </c>
      <c r="E129" s="1" t="s">
        <v>240</v>
      </c>
      <c r="F129" s="7" t="str">
        <f t="shared" si="1"/>
        <v>70-B3-D5-1F-31-AA-04-63_MDR_DUIS5.3</v>
      </c>
    </row>
    <row r="130" spans="1:6" x14ac:dyDescent="0.3">
      <c r="A130" s="3" t="s">
        <v>17</v>
      </c>
      <c r="B130" s="3" t="s">
        <v>609</v>
      </c>
      <c r="C130" s="1" t="s">
        <v>604</v>
      </c>
      <c r="D130" s="7" t="s">
        <v>614</v>
      </c>
      <c r="E130" s="1" t="s">
        <v>20</v>
      </c>
      <c r="F130" s="7" t="str">
        <f t="shared" si="1"/>
        <v>70-B3-D5-1F-31-AA-01-00_IS1_DUIS3.0</v>
      </c>
    </row>
    <row r="131" spans="1:6" x14ac:dyDescent="0.3">
      <c r="A131" s="3" t="s">
        <v>21</v>
      </c>
      <c r="B131" s="3" t="s">
        <v>610</v>
      </c>
      <c r="C131" s="1" t="s">
        <v>605</v>
      </c>
      <c r="D131" s="7" t="s">
        <v>614</v>
      </c>
      <c r="E131" s="1" t="s">
        <v>20</v>
      </c>
      <c r="F131" s="7" t="str">
        <f t="shared" ref="F131:F194" si="2">_xlfn.CONCAT(A131,"_",C131,"_",D131)</f>
        <v>70-B3-D5-1F-31-AA-01-01_IS2_DUIS3.0</v>
      </c>
    </row>
    <row r="132" spans="1:6" x14ac:dyDescent="0.3">
      <c r="A132" s="3" t="s">
        <v>23</v>
      </c>
      <c r="B132" s="3" t="s">
        <v>593</v>
      </c>
      <c r="C132" s="1" t="s">
        <v>24</v>
      </c>
      <c r="D132" s="7" t="s">
        <v>614</v>
      </c>
      <c r="E132" s="1" t="s">
        <v>20</v>
      </c>
      <c r="F132" s="7" t="str">
        <f t="shared" si="2"/>
        <v>70-B3-D5-1F-31-AA-01-02_ES_DUIS3.0</v>
      </c>
    </row>
    <row r="133" spans="1:6" x14ac:dyDescent="0.3">
      <c r="A133" s="3" t="s">
        <v>27</v>
      </c>
      <c r="B133" s="3" t="s">
        <v>611</v>
      </c>
      <c r="C133" s="1" t="s">
        <v>607</v>
      </c>
      <c r="D133" s="7" t="s">
        <v>614</v>
      </c>
      <c r="E133" s="1" t="s">
        <v>20</v>
      </c>
      <c r="F133" s="7" t="str">
        <f t="shared" si="2"/>
        <v>70-B3-D5-1F-31-AA-01-03_GS1_DUIS3.0</v>
      </c>
    </row>
    <row r="134" spans="1:6" x14ac:dyDescent="0.3">
      <c r="A134" s="3" t="s">
        <v>30</v>
      </c>
      <c r="B134" s="3" t="s">
        <v>612</v>
      </c>
      <c r="C134" s="1" t="s">
        <v>606</v>
      </c>
      <c r="D134" s="7" t="s">
        <v>614</v>
      </c>
      <c r="E134" s="1" t="s">
        <v>20</v>
      </c>
      <c r="F134" s="7" t="str">
        <f t="shared" si="2"/>
        <v>70-B3-D5-1F-31-AA-01-04_GS2_DUIS3.0</v>
      </c>
    </row>
    <row r="135" spans="1:6" x14ac:dyDescent="0.3">
      <c r="A135" s="3" t="s">
        <v>32</v>
      </c>
      <c r="B135" s="3" t="s">
        <v>594</v>
      </c>
      <c r="C135" s="1" t="s">
        <v>33</v>
      </c>
      <c r="D135" s="7" t="s">
        <v>614</v>
      </c>
      <c r="E135" s="1" t="s">
        <v>20</v>
      </c>
      <c r="F135" s="7" t="str">
        <f t="shared" si="2"/>
        <v>70-B3-D5-1F-31-AA-01-05_ED_DUIS3.0</v>
      </c>
    </row>
    <row r="136" spans="1:6" x14ac:dyDescent="0.3">
      <c r="A136" s="3" t="s">
        <v>34</v>
      </c>
      <c r="B136" s="3" t="s">
        <v>596</v>
      </c>
      <c r="C136" s="1" t="s">
        <v>35</v>
      </c>
      <c r="D136" s="7" t="s">
        <v>614</v>
      </c>
      <c r="E136" s="1" t="s">
        <v>20</v>
      </c>
      <c r="F136" s="7" t="str">
        <f t="shared" si="2"/>
        <v>70-B3-D5-1F-31-AA-01-06_GT_DUIS3.0</v>
      </c>
    </row>
    <row r="137" spans="1:6" x14ac:dyDescent="0.3">
      <c r="A137" s="3" t="s">
        <v>36</v>
      </c>
      <c r="B137" s="3" t="s">
        <v>597</v>
      </c>
      <c r="C137" s="1" t="s">
        <v>37</v>
      </c>
      <c r="D137" s="7" t="s">
        <v>614</v>
      </c>
      <c r="E137" s="1" t="s">
        <v>20</v>
      </c>
      <c r="F137" s="7" t="str">
        <f t="shared" si="2"/>
        <v>70-B3-D5-1F-31-AA-01-07_RSA_DUIS3.0</v>
      </c>
    </row>
    <row r="138" spans="1:6" x14ac:dyDescent="0.3">
      <c r="A138" s="3" t="s">
        <v>39</v>
      </c>
      <c r="B138" s="3" t="s">
        <v>601</v>
      </c>
      <c r="C138" s="1" t="s">
        <v>40</v>
      </c>
      <c r="D138" s="7" t="s">
        <v>614</v>
      </c>
      <c r="E138" s="1" t="s">
        <v>20</v>
      </c>
      <c r="F138" s="7" t="str">
        <f t="shared" si="2"/>
        <v>70-B3-D5-1F-31-AA-01-08_OU_DUIS3.0</v>
      </c>
    </row>
    <row r="139" spans="1:6" x14ac:dyDescent="0.3">
      <c r="A139" s="3" t="s">
        <v>41</v>
      </c>
      <c r="B139" s="3" t="s">
        <v>609</v>
      </c>
      <c r="C139" s="1" t="s">
        <v>604</v>
      </c>
      <c r="D139" s="7" t="s">
        <v>615</v>
      </c>
      <c r="E139" s="1" t="s">
        <v>20</v>
      </c>
      <c r="F139" s="7" t="str">
        <f t="shared" si="2"/>
        <v>70-B3-D5-1F-31-AA-01-09_IS1_DUIS3.1</v>
      </c>
    </row>
    <row r="140" spans="1:6" x14ac:dyDescent="0.3">
      <c r="A140" s="3" t="s">
        <v>42</v>
      </c>
      <c r="B140" s="3" t="s">
        <v>610</v>
      </c>
      <c r="C140" s="1" t="s">
        <v>605</v>
      </c>
      <c r="D140" s="7" t="s">
        <v>615</v>
      </c>
      <c r="E140" s="1" t="s">
        <v>20</v>
      </c>
      <c r="F140" s="7" t="str">
        <f t="shared" si="2"/>
        <v>70-B3-D5-1F-31-AA-01-10_IS2_DUIS3.1</v>
      </c>
    </row>
    <row r="141" spans="1:6" x14ac:dyDescent="0.3">
      <c r="A141" s="3" t="s">
        <v>43</v>
      </c>
      <c r="B141" s="3" t="s">
        <v>593</v>
      </c>
      <c r="C141" s="1" t="s">
        <v>24</v>
      </c>
      <c r="D141" s="7" t="s">
        <v>615</v>
      </c>
      <c r="E141" s="1" t="s">
        <v>20</v>
      </c>
      <c r="F141" s="7" t="str">
        <f t="shared" si="2"/>
        <v>70-B3-D5-1F-31-AA-01-11_ES_DUIS3.1</v>
      </c>
    </row>
    <row r="142" spans="1:6" x14ac:dyDescent="0.3">
      <c r="A142" s="3" t="s">
        <v>44</v>
      </c>
      <c r="B142" s="3" t="s">
        <v>611</v>
      </c>
      <c r="C142" s="1" t="s">
        <v>607</v>
      </c>
      <c r="D142" s="7" t="s">
        <v>615</v>
      </c>
      <c r="E142" s="1" t="s">
        <v>20</v>
      </c>
      <c r="F142" s="7" t="str">
        <f t="shared" si="2"/>
        <v>70-B3-D5-1F-31-AA-01-12_GS1_DUIS3.1</v>
      </c>
    </row>
    <row r="143" spans="1:6" x14ac:dyDescent="0.3">
      <c r="A143" s="3" t="s">
        <v>45</v>
      </c>
      <c r="B143" s="3" t="s">
        <v>612</v>
      </c>
      <c r="C143" s="1" t="s">
        <v>606</v>
      </c>
      <c r="D143" s="7" t="s">
        <v>615</v>
      </c>
      <c r="E143" s="1" t="s">
        <v>20</v>
      </c>
      <c r="F143" s="7" t="str">
        <f t="shared" si="2"/>
        <v>70-B3-D5-1F-31-AA-01-13_GS2_DUIS3.1</v>
      </c>
    </row>
    <row r="144" spans="1:6" x14ac:dyDescent="0.3">
      <c r="A144" s="3" t="s">
        <v>46</v>
      </c>
      <c r="B144" s="3" t="s">
        <v>594</v>
      </c>
      <c r="C144" s="1" t="s">
        <v>33</v>
      </c>
      <c r="D144" s="7" t="s">
        <v>615</v>
      </c>
      <c r="E144" s="1" t="s">
        <v>20</v>
      </c>
      <c r="F144" s="7" t="str">
        <f t="shared" si="2"/>
        <v>70-B3-D5-1F-31-AA-01-14_ED_DUIS3.1</v>
      </c>
    </row>
    <row r="145" spans="1:6" x14ac:dyDescent="0.3">
      <c r="A145" s="3" t="s">
        <v>47</v>
      </c>
      <c r="B145" s="3" t="s">
        <v>596</v>
      </c>
      <c r="C145" s="1" t="s">
        <v>35</v>
      </c>
      <c r="D145" s="7" t="s">
        <v>615</v>
      </c>
      <c r="E145" s="1" t="s">
        <v>20</v>
      </c>
      <c r="F145" s="7" t="str">
        <f t="shared" si="2"/>
        <v>70-B3-D5-1F-31-AA-01-15_GT_DUIS3.1</v>
      </c>
    </row>
    <row r="146" spans="1:6" x14ac:dyDescent="0.3">
      <c r="A146" s="3" t="s">
        <v>48</v>
      </c>
      <c r="B146" s="3" t="s">
        <v>597</v>
      </c>
      <c r="C146" s="1" t="s">
        <v>37</v>
      </c>
      <c r="D146" s="7" t="s">
        <v>615</v>
      </c>
      <c r="E146" s="1" t="s">
        <v>20</v>
      </c>
      <c r="F146" s="7" t="str">
        <f t="shared" si="2"/>
        <v>70-B3-D5-1F-31-AA-01-16_RSA_DUIS3.1</v>
      </c>
    </row>
    <row r="147" spans="1:6" x14ac:dyDescent="0.3">
      <c r="A147" s="3" t="s">
        <v>49</v>
      </c>
      <c r="B147" s="3" t="s">
        <v>601</v>
      </c>
      <c r="C147" s="1" t="s">
        <v>40</v>
      </c>
      <c r="D147" s="7" t="s">
        <v>615</v>
      </c>
      <c r="E147" s="1" t="s">
        <v>20</v>
      </c>
      <c r="F147" s="7" t="str">
        <f t="shared" si="2"/>
        <v>70-B3-D5-1F-31-AA-01-17_OU_DUIS3.1</v>
      </c>
    </row>
    <row r="148" spans="1:6" x14ac:dyDescent="0.3">
      <c r="A148" s="3" t="s">
        <v>50</v>
      </c>
      <c r="B148" s="3" t="s">
        <v>609</v>
      </c>
      <c r="C148" s="1" t="s">
        <v>604</v>
      </c>
      <c r="D148" s="7" t="s">
        <v>616</v>
      </c>
      <c r="E148" s="1" t="s">
        <v>20</v>
      </c>
      <c r="F148" s="7" t="str">
        <f t="shared" si="2"/>
        <v>70-B3-D5-1F-31-AA-01-18_IS1_DUIS4.0</v>
      </c>
    </row>
    <row r="149" spans="1:6" x14ac:dyDescent="0.3">
      <c r="A149" s="3" t="s">
        <v>51</v>
      </c>
      <c r="B149" s="3" t="s">
        <v>610</v>
      </c>
      <c r="C149" s="1" t="s">
        <v>605</v>
      </c>
      <c r="D149" s="7" t="s">
        <v>616</v>
      </c>
      <c r="E149" s="1" t="s">
        <v>20</v>
      </c>
      <c r="F149" s="7" t="str">
        <f t="shared" si="2"/>
        <v>70-B3-D5-1F-31-AA-01-19_IS2_DUIS4.0</v>
      </c>
    </row>
    <row r="150" spans="1:6" x14ac:dyDescent="0.3">
      <c r="A150" s="3" t="s">
        <v>52</v>
      </c>
      <c r="B150" s="3" t="s">
        <v>593</v>
      </c>
      <c r="C150" s="1" t="s">
        <v>24</v>
      </c>
      <c r="D150" s="7" t="s">
        <v>616</v>
      </c>
      <c r="E150" s="1" t="s">
        <v>20</v>
      </c>
      <c r="F150" s="7" t="str">
        <f t="shared" si="2"/>
        <v>70-B3-D5-1F-31-AA-01-20_ES_DUIS4.0</v>
      </c>
    </row>
    <row r="151" spans="1:6" x14ac:dyDescent="0.3">
      <c r="A151" s="3" t="s">
        <v>53</v>
      </c>
      <c r="B151" s="3" t="s">
        <v>611</v>
      </c>
      <c r="C151" s="1" t="s">
        <v>607</v>
      </c>
      <c r="D151" s="7" t="s">
        <v>616</v>
      </c>
      <c r="E151" s="1" t="s">
        <v>20</v>
      </c>
      <c r="F151" s="7" t="str">
        <f t="shared" si="2"/>
        <v>70-B3-D5-1F-31-AA-01-21_GS1_DUIS4.0</v>
      </c>
    </row>
    <row r="152" spans="1:6" x14ac:dyDescent="0.3">
      <c r="A152" s="3" t="s">
        <v>54</v>
      </c>
      <c r="B152" s="3" t="s">
        <v>612</v>
      </c>
      <c r="C152" s="1" t="s">
        <v>606</v>
      </c>
      <c r="D152" s="7" t="s">
        <v>616</v>
      </c>
      <c r="E152" s="1" t="s">
        <v>20</v>
      </c>
      <c r="F152" s="7" t="str">
        <f t="shared" si="2"/>
        <v>70-B3-D5-1F-31-AA-01-22_GS2_DUIS4.0</v>
      </c>
    </row>
    <row r="153" spans="1:6" x14ac:dyDescent="0.3">
      <c r="A153" s="3" t="s">
        <v>55</v>
      </c>
      <c r="B153" s="3" t="s">
        <v>594</v>
      </c>
      <c r="C153" s="1" t="s">
        <v>33</v>
      </c>
      <c r="D153" s="7" t="s">
        <v>616</v>
      </c>
      <c r="E153" s="1" t="s">
        <v>20</v>
      </c>
      <c r="F153" s="7" t="str">
        <f t="shared" si="2"/>
        <v>70-B3-D5-1F-31-AA-01-23_ED_DUIS4.0</v>
      </c>
    </row>
    <row r="154" spans="1:6" x14ac:dyDescent="0.3">
      <c r="A154" s="3" t="s">
        <v>56</v>
      </c>
      <c r="B154" s="3" t="s">
        <v>596</v>
      </c>
      <c r="C154" s="1" t="s">
        <v>35</v>
      </c>
      <c r="D154" s="7" t="s">
        <v>616</v>
      </c>
      <c r="E154" s="1" t="s">
        <v>20</v>
      </c>
      <c r="F154" s="7" t="str">
        <f t="shared" si="2"/>
        <v>70-B3-D5-1F-31-AA-01-24_GT_DUIS4.0</v>
      </c>
    </row>
    <row r="155" spans="1:6" x14ac:dyDescent="0.3">
      <c r="A155" s="3" t="s">
        <v>57</v>
      </c>
      <c r="B155" s="3" t="s">
        <v>597</v>
      </c>
      <c r="C155" s="1" t="s">
        <v>37</v>
      </c>
      <c r="D155" s="7" t="s">
        <v>616</v>
      </c>
      <c r="E155" s="1" t="s">
        <v>20</v>
      </c>
      <c r="F155" s="7" t="str">
        <f t="shared" si="2"/>
        <v>70-B3-D5-1F-31-AA-01-25_RSA_DUIS4.0</v>
      </c>
    </row>
    <row r="156" spans="1:6" x14ac:dyDescent="0.3">
      <c r="A156" s="3" t="s">
        <v>58</v>
      </c>
      <c r="B156" s="3" t="s">
        <v>601</v>
      </c>
      <c r="C156" s="1" t="s">
        <v>40</v>
      </c>
      <c r="D156" s="7" t="s">
        <v>616</v>
      </c>
      <c r="E156" s="1" t="s">
        <v>20</v>
      </c>
      <c r="F156" s="7" t="str">
        <f t="shared" si="2"/>
        <v>70-B3-D5-1F-31-AA-01-26_OU_DUIS4.0</v>
      </c>
    </row>
    <row r="157" spans="1:6" x14ac:dyDescent="0.3">
      <c r="A157" s="3" t="s">
        <v>59</v>
      </c>
      <c r="B157" s="3" t="s">
        <v>609</v>
      </c>
      <c r="C157" s="1" t="s">
        <v>604</v>
      </c>
      <c r="D157" s="7" t="s">
        <v>617</v>
      </c>
      <c r="E157" s="1" t="s">
        <v>20</v>
      </c>
      <c r="F157" s="7" t="str">
        <f t="shared" si="2"/>
        <v>70-B3-D5-1F-31-AA-01-27_IS1_DUIS5.0</v>
      </c>
    </row>
    <row r="158" spans="1:6" x14ac:dyDescent="0.3">
      <c r="A158" s="3" t="s">
        <v>60</v>
      </c>
      <c r="B158" s="3" t="s">
        <v>610</v>
      </c>
      <c r="C158" s="1" t="s">
        <v>605</v>
      </c>
      <c r="D158" s="7" t="s">
        <v>617</v>
      </c>
      <c r="E158" s="1" t="s">
        <v>20</v>
      </c>
      <c r="F158" s="7" t="str">
        <f t="shared" si="2"/>
        <v>70-B3-D5-1F-31-AA-01-28_IS2_DUIS5.0</v>
      </c>
    </row>
    <row r="159" spans="1:6" x14ac:dyDescent="0.3">
      <c r="A159" s="3" t="s">
        <v>61</v>
      </c>
      <c r="B159" s="3" t="s">
        <v>593</v>
      </c>
      <c r="C159" s="1" t="s">
        <v>24</v>
      </c>
      <c r="D159" s="7" t="s">
        <v>617</v>
      </c>
      <c r="E159" s="1" t="s">
        <v>20</v>
      </c>
      <c r="F159" s="7" t="str">
        <f t="shared" si="2"/>
        <v>70-B3-D5-1F-31-AA-01-29_ES_DUIS5.0</v>
      </c>
    </row>
    <row r="160" spans="1:6" x14ac:dyDescent="0.3">
      <c r="A160" s="3" t="s">
        <v>62</v>
      </c>
      <c r="B160" s="3" t="s">
        <v>611</v>
      </c>
      <c r="C160" s="1" t="s">
        <v>607</v>
      </c>
      <c r="D160" s="7" t="s">
        <v>617</v>
      </c>
      <c r="E160" s="1" t="s">
        <v>20</v>
      </c>
      <c r="F160" s="7" t="str">
        <f t="shared" si="2"/>
        <v>70-B3-D5-1F-31-AA-01-30_GS1_DUIS5.0</v>
      </c>
    </row>
    <row r="161" spans="1:6" x14ac:dyDescent="0.3">
      <c r="A161" s="3" t="s">
        <v>63</v>
      </c>
      <c r="B161" s="3" t="s">
        <v>612</v>
      </c>
      <c r="C161" s="1" t="s">
        <v>606</v>
      </c>
      <c r="D161" s="7" t="s">
        <v>617</v>
      </c>
      <c r="E161" s="1" t="s">
        <v>20</v>
      </c>
      <c r="F161" s="7" t="str">
        <f t="shared" si="2"/>
        <v>70-B3-D5-1F-31-AA-01-31_GS2_DUIS5.0</v>
      </c>
    </row>
    <row r="162" spans="1:6" x14ac:dyDescent="0.3">
      <c r="A162" s="3" t="s">
        <v>64</v>
      </c>
      <c r="B162" s="3" t="s">
        <v>594</v>
      </c>
      <c r="C162" s="1" t="s">
        <v>33</v>
      </c>
      <c r="D162" s="7" t="s">
        <v>617</v>
      </c>
      <c r="E162" s="1" t="s">
        <v>20</v>
      </c>
      <c r="F162" s="7" t="str">
        <f t="shared" si="2"/>
        <v>70-B3-D5-1F-31-AA-01-32_ED_DUIS5.0</v>
      </c>
    </row>
    <row r="163" spans="1:6" x14ac:dyDescent="0.3">
      <c r="A163" s="3" t="s">
        <v>65</v>
      </c>
      <c r="B163" s="3" t="s">
        <v>596</v>
      </c>
      <c r="C163" s="1" t="s">
        <v>35</v>
      </c>
      <c r="D163" s="7" t="s">
        <v>617</v>
      </c>
      <c r="E163" s="1" t="s">
        <v>20</v>
      </c>
      <c r="F163" s="7" t="str">
        <f t="shared" si="2"/>
        <v>70-B3-D5-1F-31-AA-01-33_GT_DUIS5.0</v>
      </c>
    </row>
    <row r="164" spans="1:6" x14ac:dyDescent="0.3">
      <c r="A164" s="3" t="s">
        <v>66</v>
      </c>
      <c r="B164" s="3" t="s">
        <v>597</v>
      </c>
      <c r="C164" s="1" t="s">
        <v>37</v>
      </c>
      <c r="D164" s="7" t="s">
        <v>617</v>
      </c>
      <c r="E164" s="1" t="s">
        <v>20</v>
      </c>
      <c r="F164" s="7" t="str">
        <f t="shared" si="2"/>
        <v>70-B3-D5-1F-31-AA-01-34_RSA_DUIS5.0</v>
      </c>
    </row>
    <row r="165" spans="1:6" x14ac:dyDescent="0.3">
      <c r="A165" s="3" t="s">
        <v>67</v>
      </c>
      <c r="B165" s="3" t="s">
        <v>601</v>
      </c>
      <c r="C165" s="1" t="s">
        <v>40</v>
      </c>
      <c r="D165" s="7" t="s">
        <v>617</v>
      </c>
      <c r="E165" s="1" t="s">
        <v>20</v>
      </c>
      <c r="F165" s="7" t="str">
        <f t="shared" si="2"/>
        <v>70-B3-D5-1F-31-AA-01-35_OU_DUIS5.0</v>
      </c>
    </row>
    <row r="166" spans="1:6" x14ac:dyDescent="0.3">
      <c r="A166" s="3" t="s">
        <v>68</v>
      </c>
      <c r="B166" s="3" t="s">
        <v>609</v>
      </c>
      <c r="C166" s="1" t="s">
        <v>604</v>
      </c>
      <c r="D166" s="7" t="s">
        <v>618</v>
      </c>
      <c r="E166" s="1" t="s">
        <v>20</v>
      </c>
      <c r="F166" s="7" t="str">
        <f t="shared" si="2"/>
        <v>70-B3-D5-1F-31-AA-01-36_IS1_DUIS5.1</v>
      </c>
    </row>
    <row r="167" spans="1:6" x14ac:dyDescent="0.3">
      <c r="A167" s="3" t="s">
        <v>69</v>
      </c>
      <c r="B167" s="3" t="s">
        <v>610</v>
      </c>
      <c r="C167" s="1" t="s">
        <v>605</v>
      </c>
      <c r="D167" s="7" t="s">
        <v>618</v>
      </c>
      <c r="E167" s="1" t="s">
        <v>20</v>
      </c>
      <c r="F167" s="7" t="str">
        <f t="shared" si="2"/>
        <v>70-B3-D5-1F-31-AA-01-37_IS2_DUIS5.1</v>
      </c>
    </row>
    <row r="168" spans="1:6" x14ac:dyDescent="0.3">
      <c r="A168" s="3" t="s">
        <v>70</v>
      </c>
      <c r="B168" s="3" t="s">
        <v>593</v>
      </c>
      <c r="C168" s="1" t="s">
        <v>24</v>
      </c>
      <c r="D168" s="7" t="s">
        <v>618</v>
      </c>
      <c r="E168" s="1" t="s">
        <v>20</v>
      </c>
      <c r="F168" s="7" t="str">
        <f t="shared" si="2"/>
        <v>70-B3-D5-1F-31-AA-01-38_ES_DUIS5.1</v>
      </c>
    </row>
    <row r="169" spans="1:6" x14ac:dyDescent="0.3">
      <c r="A169" s="3" t="s">
        <v>71</v>
      </c>
      <c r="B169" s="3" t="s">
        <v>611</v>
      </c>
      <c r="C169" s="1" t="s">
        <v>607</v>
      </c>
      <c r="D169" s="7" t="s">
        <v>618</v>
      </c>
      <c r="E169" s="1" t="s">
        <v>20</v>
      </c>
      <c r="F169" s="7" t="str">
        <f t="shared" si="2"/>
        <v>70-B3-D5-1F-31-AA-01-39_GS1_DUIS5.1</v>
      </c>
    </row>
    <row r="170" spans="1:6" x14ac:dyDescent="0.3">
      <c r="A170" s="3" t="s">
        <v>72</v>
      </c>
      <c r="B170" s="3" t="s">
        <v>612</v>
      </c>
      <c r="C170" s="1" t="s">
        <v>606</v>
      </c>
      <c r="D170" s="7" t="s">
        <v>618</v>
      </c>
      <c r="E170" s="1" t="s">
        <v>20</v>
      </c>
      <c r="F170" s="7" t="str">
        <f t="shared" si="2"/>
        <v>70-B3-D5-1F-31-AA-01-40_GS2_DUIS5.1</v>
      </c>
    </row>
    <row r="171" spans="1:6" x14ac:dyDescent="0.3">
      <c r="A171" s="3" t="s">
        <v>73</v>
      </c>
      <c r="B171" s="3" t="s">
        <v>594</v>
      </c>
      <c r="C171" s="1" t="s">
        <v>33</v>
      </c>
      <c r="D171" s="7" t="s">
        <v>618</v>
      </c>
      <c r="E171" s="1" t="s">
        <v>20</v>
      </c>
      <c r="F171" s="7" t="str">
        <f t="shared" si="2"/>
        <v>70-B3-D5-1F-31-AA-01-41_ED_DUIS5.1</v>
      </c>
    </row>
    <row r="172" spans="1:6" x14ac:dyDescent="0.3">
      <c r="A172" s="3" t="s">
        <v>74</v>
      </c>
      <c r="B172" s="3" t="s">
        <v>596</v>
      </c>
      <c r="C172" s="1" t="s">
        <v>35</v>
      </c>
      <c r="D172" s="7" t="s">
        <v>618</v>
      </c>
      <c r="E172" s="1" t="s">
        <v>20</v>
      </c>
      <c r="F172" s="7" t="str">
        <f t="shared" si="2"/>
        <v>70-B3-D5-1F-31-AA-01-42_GT_DUIS5.1</v>
      </c>
    </row>
    <row r="173" spans="1:6" x14ac:dyDescent="0.3">
      <c r="A173" s="3" t="s">
        <v>75</v>
      </c>
      <c r="B173" s="3" t="s">
        <v>597</v>
      </c>
      <c r="C173" s="1" t="s">
        <v>37</v>
      </c>
      <c r="D173" s="7" t="s">
        <v>618</v>
      </c>
      <c r="E173" s="1" t="s">
        <v>20</v>
      </c>
      <c r="F173" s="7" t="str">
        <f t="shared" si="2"/>
        <v>70-B3-D5-1F-31-AA-01-43_RSA_DUIS5.1</v>
      </c>
    </row>
    <row r="174" spans="1:6" x14ac:dyDescent="0.3">
      <c r="A174" s="3" t="s">
        <v>76</v>
      </c>
      <c r="B174" s="3" t="s">
        <v>601</v>
      </c>
      <c r="C174" s="1" t="s">
        <v>40</v>
      </c>
      <c r="D174" s="7" t="s">
        <v>618</v>
      </c>
      <c r="E174" s="1" t="s">
        <v>20</v>
      </c>
      <c r="F174" s="7" t="str">
        <f t="shared" si="2"/>
        <v>70-B3-D5-1F-31-AA-01-44_OU_DUIS5.1</v>
      </c>
    </row>
    <row r="175" spans="1:6" x14ac:dyDescent="0.3">
      <c r="A175" s="3" t="s">
        <v>77</v>
      </c>
      <c r="B175" s="3" t="s">
        <v>609</v>
      </c>
      <c r="C175" s="1" t="s">
        <v>604</v>
      </c>
      <c r="D175" s="7" t="s">
        <v>619</v>
      </c>
      <c r="E175" s="1" t="s">
        <v>20</v>
      </c>
      <c r="F175" s="7" t="str">
        <f t="shared" si="2"/>
        <v>70-B3-D5-1F-31-AA-01-45_IS1_DUIS5.2</v>
      </c>
    </row>
    <row r="176" spans="1:6" x14ac:dyDescent="0.3">
      <c r="A176" s="3" t="s">
        <v>78</v>
      </c>
      <c r="B176" s="3" t="s">
        <v>610</v>
      </c>
      <c r="C176" s="1" t="s">
        <v>605</v>
      </c>
      <c r="D176" s="7" t="s">
        <v>619</v>
      </c>
      <c r="E176" s="1" t="s">
        <v>20</v>
      </c>
      <c r="F176" s="7" t="str">
        <f t="shared" si="2"/>
        <v>70-B3-D5-1F-31-AA-01-46_IS2_DUIS5.2</v>
      </c>
    </row>
    <row r="177" spans="1:6" x14ac:dyDescent="0.3">
      <c r="A177" s="3" t="s">
        <v>79</v>
      </c>
      <c r="B177" s="3" t="s">
        <v>593</v>
      </c>
      <c r="C177" s="1" t="s">
        <v>24</v>
      </c>
      <c r="D177" s="7" t="s">
        <v>619</v>
      </c>
      <c r="E177" s="1" t="s">
        <v>20</v>
      </c>
      <c r="F177" s="7" t="str">
        <f t="shared" si="2"/>
        <v>70-B3-D5-1F-31-AA-01-47_ES_DUIS5.2</v>
      </c>
    </row>
    <row r="178" spans="1:6" x14ac:dyDescent="0.3">
      <c r="A178" s="3" t="s">
        <v>80</v>
      </c>
      <c r="B178" s="3" t="s">
        <v>611</v>
      </c>
      <c r="C178" s="1" t="s">
        <v>607</v>
      </c>
      <c r="D178" s="7" t="s">
        <v>619</v>
      </c>
      <c r="E178" s="1" t="s">
        <v>20</v>
      </c>
      <c r="F178" s="7" t="str">
        <f t="shared" si="2"/>
        <v>70-B3-D5-1F-31-AA-01-48_GS1_DUIS5.2</v>
      </c>
    </row>
    <row r="179" spans="1:6" x14ac:dyDescent="0.3">
      <c r="A179" s="3" t="s">
        <v>81</v>
      </c>
      <c r="B179" s="3" t="s">
        <v>612</v>
      </c>
      <c r="C179" s="1" t="s">
        <v>606</v>
      </c>
      <c r="D179" s="7" t="s">
        <v>619</v>
      </c>
      <c r="E179" s="1" t="s">
        <v>20</v>
      </c>
      <c r="F179" s="7" t="str">
        <f t="shared" si="2"/>
        <v>70-B3-D5-1F-31-AA-01-49_GS2_DUIS5.2</v>
      </c>
    </row>
    <row r="180" spans="1:6" x14ac:dyDescent="0.3">
      <c r="A180" s="3" t="s">
        <v>82</v>
      </c>
      <c r="B180" s="3" t="s">
        <v>594</v>
      </c>
      <c r="C180" s="1" t="s">
        <v>33</v>
      </c>
      <c r="D180" s="7" t="s">
        <v>619</v>
      </c>
      <c r="E180" s="1" t="s">
        <v>20</v>
      </c>
      <c r="F180" s="7" t="str">
        <f t="shared" si="2"/>
        <v>70-B3-D5-1F-31-AA-01-50_ED_DUIS5.2</v>
      </c>
    </row>
    <row r="181" spans="1:6" x14ac:dyDescent="0.3">
      <c r="A181" s="3" t="s">
        <v>83</v>
      </c>
      <c r="B181" s="3" t="s">
        <v>596</v>
      </c>
      <c r="C181" s="1" t="s">
        <v>35</v>
      </c>
      <c r="D181" s="7" t="s">
        <v>619</v>
      </c>
      <c r="E181" s="1" t="s">
        <v>20</v>
      </c>
      <c r="F181" s="7" t="str">
        <f t="shared" si="2"/>
        <v>70-B3-D5-1F-31-AA-01-51_GT_DUIS5.2</v>
      </c>
    </row>
    <row r="182" spans="1:6" x14ac:dyDescent="0.3">
      <c r="A182" s="3" t="s">
        <v>84</v>
      </c>
      <c r="B182" s="3" t="s">
        <v>597</v>
      </c>
      <c r="C182" s="1" t="s">
        <v>37</v>
      </c>
      <c r="D182" s="7" t="s">
        <v>619</v>
      </c>
      <c r="E182" s="1" t="s">
        <v>20</v>
      </c>
      <c r="F182" s="7" t="str">
        <f t="shared" si="2"/>
        <v>70-B3-D5-1F-31-AA-01-52_RSA_DUIS5.2</v>
      </c>
    </row>
    <row r="183" spans="1:6" x14ac:dyDescent="0.3">
      <c r="A183" s="3" t="s">
        <v>85</v>
      </c>
      <c r="B183" s="3" t="s">
        <v>601</v>
      </c>
      <c r="C183" s="1" t="s">
        <v>40</v>
      </c>
      <c r="D183" s="7" t="s">
        <v>619</v>
      </c>
      <c r="E183" s="1" t="s">
        <v>20</v>
      </c>
      <c r="F183" s="7" t="str">
        <f t="shared" si="2"/>
        <v>70-B3-D5-1F-31-AA-01-53_OU_DUIS5.2</v>
      </c>
    </row>
    <row r="184" spans="1:6" x14ac:dyDescent="0.3">
      <c r="A184" s="3" t="s">
        <v>86</v>
      </c>
      <c r="B184" s="3" t="s">
        <v>609</v>
      </c>
      <c r="C184" s="1" t="s">
        <v>604</v>
      </c>
      <c r="D184" s="7" t="s">
        <v>620</v>
      </c>
      <c r="E184" s="1" t="s">
        <v>20</v>
      </c>
      <c r="F184" s="7" t="str">
        <f t="shared" si="2"/>
        <v>70-B3-D5-1F-31-AA-01-54_IS1_DUIS5.3</v>
      </c>
    </row>
    <row r="185" spans="1:6" x14ac:dyDescent="0.3">
      <c r="A185" s="3" t="s">
        <v>87</v>
      </c>
      <c r="B185" s="3" t="s">
        <v>610</v>
      </c>
      <c r="C185" s="1" t="s">
        <v>605</v>
      </c>
      <c r="D185" s="7" t="s">
        <v>620</v>
      </c>
      <c r="E185" s="1" t="s">
        <v>20</v>
      </c>
      <c r="F185" s="7" t="str">
        <f t="shared" si="2"/>
        <v>70-B3-D5-1F-31-AA-01-55_IS2_DUIS5.3</v>
      </c>
    </row>
    <row r="186" spans="1:6" x14ac:dyDescent="0.3">
      <c r="A186" s="3" t="s">
        <v>88</v>
      </c>
      <c r="B186" s="3" t="s">
        <v>593</v>
      </c>
      <c r="C186" s="1" t="s">
        <v>24</v>
      </c>
      <c r="D186" s="7" t="s">
        <v>620</v>
      </c>
      <c r="E186" s="1" t="s">
        <v>20</v>
      </c>
      <c r="F186" s="7" t="str">
        <f t="shared" si="2"/>
        <v>70-B3-D5-1F-31-AA-01-56_ES_DUIS5.3</v>
      </c>
    </row>
    <row r="187" spans="1:6" x14ac:dyDescent="0.3">
      <c r="A187" s="3" t="s">
        <v>89</v>
      </c>
      <c r="B187" s="3" t="s">
        <v>611</v>
      </c>
      <c r="C187" s="1" t="s">
        <v>607</v>
      </c>
      <c r="D187" s="7" t="s">
        <v>620</v>
      </c>
      <c r="E187" s="1" t="s">
        <v>20</v>
      </c>
      <c r="F187" s="7" t="str">
        <f t="shared" si="2"/>
        <v>70-B3-D5-1F-31-AA-01-57_GS1_DUIS5.3</v>
      </c>
    </row>
    <row r="188" spans="1:6" x14ac:dyDescent="0.3">
      <c r="A188" s="3" t="s">
        <v>90</v>
      </c>
      <c r="B188" s="3" t="s">
        <v>612</v>
      </c>
      <c r="C188" s="1" t="s">
        <v>606</v>
      </c>
      <c r="D188" s="7" t="s">
        <v>620</v>
      </c>
      <c r="E188" s="1" t="s">
        <v>20</v>
      </c>
      <c r="F188" s="7" t="str">
        <f t="shared" si="2"/>
        <v>70-B3-D5-1F-31-AA-01-58_GS2_DUIS5.3</v>
      </c>
    </row>
    <row r="189" spans="1:6" x14ac:dyDescent="0.3">
      <c r="A189" s="3" t="s">
        <v>91</v>
      </c>
      <c r="B189" s="3" t="s">
        <v>594</v>
      </c>
      <c r="C189" s="1" t="s">
        <v>33</v>
      </c>
      <c r="D189" s="7" t="s">
        <v>620</v>
      </c>
      <c r="E189" s="1" t="s">
        <v>20</v>
      </c>
      <c r="F189" s="7" t="str">
        <f t="shared" si="2"/>
        <v>70-B3-D5-1F-31-AA-01-59_ED_DUIS5.3</v>
      </c>
    </row>
    <row r="190" spans="1:6" x14ac:dyDescent="0.3">
      <c r="A190" s="3" t="s">
        <v>92</v>
      </c>
      <c r="B190" s="3" t="s">
        <v>596</v>
      </c>
      <c r="C190" s="1" t="s">
        <v>35</v>
      </c>
      <c r="D190" s="7" t="s">
        <v>620</v>
      </c>
      <c r="E190" s="1" t="s">
        <v>20</v>
      </c>
      <c r="F190" s="7" t="str">
        <f t="shared" si="2"/>
        <v>70-B3-D5-1F-31-AA-01-60_GT_DUIS5.3</v>
      </c>
    </row>
    <row r="191" spans="1:6" x14ac:dyDescent="0.3">
      <c r="A191" s="3" t="s">
        <v>93</v>
      </c>
      <c r="B191" s="3" t="s">
        <v>597</v>
      </c>
      <c r="C191" s="1" t="s">
        <v>37</v>
      </c>
      <c r="D191" s="7" t="s">
        <v>620</v>
      </c>
      <c r="E191" s="1" t="s">
        <v>20</v>
      </c>
      <c r="F191" s="7" t="str">
        <f t="shared" si="2"/>
        <v>70-B3-D5-1F-31-AA-01-61_RSA_DUIS5.3</v>
      </c>
    </row>
    <row r="192" spans="1:6" x14ac:dyDescent="0.3">
      <c r="A192" s="3" t="s">
        <v>94</v>
      </c>
      <c r="B192" s="3" t="s">
        <v>601</v>
      </c>
      <c r="C192" s="1" t="s">
        <v>40</v>
      </c>
      <c r="D192" s="7" t="s">
        <v>620</v>
      </c>
      <c r="E192" s="1" t="s">
        <v>20</v>
      </c>
      <c r="F192" s="7" t="str">
        <f t="shared" si="2"/>
        <v>70-B3-D5-1F-31-AA-01-62_OU_DUIS5.3</v>
      </c>
    </row>
    <row r="193" spans="1:6" x14ac:dyDescent="0.3">
      <c r="A193" s="3" t="s">
        <v>95</v>
      </c>
      <c r="B193" s="3" t="s">
        <v>602</v>
      </c>
      <c r="C193" s="1" t="s">
        <v>96</v>
      </c>
      <c r="D193" s="7" t="s">
        <v>620</v>
      </c>
      <c r="E193" s="1" t="s">
        <v>20</v>
      </c>
      <c r="F193" s="7" t="str">
        <f t="shared" si="2"/>
        <v>70-B3-D5-1F-31-AA-01-63_MDR_DUIS5.3</v>
      </c>
    </row>
    <row r="194" spans="1:6" x14ac:dyDescent="0.3">
      <c r="A194" s="3" t="s">
        <v>97</v>
      </c>
      <c r="B194" s="3" t="s">
        <v>609</v>
      </c>
      <c r="C194" s="1" t="s">
        <v>604</v>
      </c>
      <c r="D194" s="7" t="s">
        <v>614</v>
      </c>
      <c r="E194" s="1" t="s">
        <v>98</v>
      </c>
      <c r="F194" s="7" t="str">
        <f t="shared" si="2"/>
        <v>70-B3-D5-1F-31-AA-02-00_IS1_DUIS3.0</v>
      </c>
    </row>
    <row r="195" spans="1:6" x14ac:dyDescent="0.3">
      <c r="A195" s="3" t="s">
        <v>99</v>
      </c>
      <c r="B195" s="3" t="s">
        <v>610</v>
      </c>
      <c r="C195" s="1" t="s">
        <v>605</v>
      </c>
      <c r="D195" s="7" t="s">
        <v>614</v>
      </c>
      <c r="E195" s="1" t="s">
        <v>98</v>
      </c>
      <c r="F195" s="7" t="str">
        <f t="shared" ref="F195:F257" si="3">_xlfn.CONCAT(A195,"_",C195,"_",D195)</f>
        <v>70-B3-D5-1F-31-AA-02-01_IS2_DUIS3.0</v>
      </c>
    </row>
    <row r="196" spans="1:6" x14ac:dyDescent="0.3">
      <c r="A196" s="3" t="s">
        <v>100</v>
      </c>
      <c r="B196" s="3" t="s">
        <v>593</v>
      </c>
      <c r="C196" s="1" t="s">
        <v>24</v>
      </c>
      <c r="D196" s="7" t="s">
        <v>614</v>
      </c>
      <c r="E196" s="1" t="s">
        <v>98</v>
      </c>
      <c r="F196" s="7" t="str">
        <f t="shared" si="3"/>
        <v>70-B3-D5-1F-31-AA-02-02_ES_DUIS3.0</v>
      </c>
    </row>
    <row r="197" spans="1:6" x14ac:dyDescent="0.3">
      <c r="A197" s="3" t="s">
        <v>101</v>
      </c>
      <c r="B197" s="3" t="s">
        <v>611</v>
      </c>
      <c r="C197" s="1" t="s">
        <v>607</v>
      </c>
      <c r="D197" s="7" t="s">
        <v>614</v>
      </c>
      <c r="E197" s="1" t="s">
        <v>98</v>
      </c>
      <c r="F197" s="7" t="str">
        <f t="shared" si="3"/>
        <v>70-B3-D5-1F-31-AA-02-03_GS1_DUIS3.0</v>
      </c>
    </row>
    <row r="198" spans="1:6" x14ac:dyDescent="0.3">
      <c r="A198" s="3" t="s">
        <v>102</v>
      </c>
      <c r="B198" s="3" t="s">
        <v>612</v>
      </c>
      <c r="C198" s="1" t="s">
        <v>606</v>
      </c>
      <c r="D198" s="7" t="s">
        <v>614</v>
      </c>
      <c r="E198" s="1" t="s">
        <v>98</v>
      </c>
      <c r="F198" s="7" t="str">
        <f t="shared" si="3"/>
        <v>70-B3-D5-1F-31-AA-02-04_GS2_DUIS3.0</v>
      </c>
    </row>
    <row r="199" spans="1:6" x14ac:dyDescent="0.3">
      <c r="A199" s="3" t="s">
        <v>103</v>
      </c>
      <c r="B199" s="3" t="s">
        <v>594</v>
      </c>
      <c r="C199" s="1" t="s">
        <v>33</v>
      </c>
      <c r="D199" s="7" t="s">
        <v>614</v>
      </c>
      <c r="E199" s="1" t="s">
        <v>98</v>
      </c>
      <c r="F199" s="7" t="str">
        <f t="shared" si="3"/>
        <v>70-B3-D5-1F-31-AA-02-05_ED_DUIS3.0</v>
      </c>
    </row>
    <row r="200" spans="1:6" x14ac:dyDescent="0.3">
      <c r="A200" s="3" t="s">
        <v>104</v>
      </c>
      <c r="B200" s="3" t="s">
        <v>596</v>
      </c>
      <c r="C200" s="1" t="s">
        <v>35</v>
      </c>
      <c r="D200" s="7" t="s">
        <v>614</v>
      </c>
      <c r="E200" s="1" t="s">
        <v>98</v>
      </c>
      <c r="F200" s="7" t="str">
        <f t="shared" si="3"/>
        <v>70-B3-D5-1F-31-AA-02-06_GT_DUIS3.0</v>
      </c>
    </row>
    <row r="201" spans="1:6" x14ac:dyDescent="0.3">
      <c r="A201" s="3" t="s">
        <v>105</v>
      </c>
      <c r="B201" s="3" t="s">
        <v>597</v>
      </c>
      <c r="C201" s="1" t="s">
        <v>37</v>
      </c>
      <c r="D201" s="7" t="s">
        <v>614</v>
      </c>
      <c r="E201" s="1" t="s">
        <v>98</v>
      </c>
      <c r="F201" s="7" t="str">
        <f t="shared" si="3"/>
        <v>70-B3-D5-1F-31-AA-02-07_RSA_DUIS3.0</v>
      </c>
    </row>
    <row r="202" spans="1:6" x14ac:dyDescent="0.3">
      <c r="A202" s="3" t="s">
        <v>106</v>
      </c>
      <c r="B202" s="3" t="s">
        <v>601</v>
      </c>
      <c r="C202" s="1" t="s">
        <v>40</v>
      </c>
      <c r="D202" s="7" t="s">
        <v>614</v>
      </c>
      <c r="E202" s="1" t="s">
        <v>98</v>
      </c>
      <c r="F202" s="7" t="str">
        <f t="shared" si="3"/>
        <v>70-B3-D5-1F-31-AA-02-08_OU_DUIS3.0</v>
      </c>
    </row>
    <row r="203" spans="1:6" x14ac:dyDescent="0.3">
      <c r="A203" s="3" t="s">
        <v>107</v>
      </c>
      <c r="B203" s="3" t="s">
        <v>609</v>
      </c>
      <c r="C203" s="1" t="s">
        <v>604</v>
      </c>
      <c r="D203" s="7" t="s">
        <v>615</v>
      </c>
      <c r="E203" s="1" t="s">
        <v>98</v>
      </c>
      <c r="F203" s="7" t="str">
        <f t="shared" si="3"/>
        <v>70-B3-D5-1F-31-AA-02-09_IS1_DUIS3.1</v>
      </c>
    </row>
    <row r="204" spans="1:6" x14ac:dyDescent="0.3">
      <c r="A204" s="3" t="s">
        <v>108</v>
      </c>
      <c r="B204" s="3" t="s">
        <v>610</v>
      </c>
      <c r="C204" s="1" t="s">
        <v>605</v>
      </c>
      <c r="D204" s="7" t="s">
        <v>615</v>
      </c>
      <c r="E204" s="1" t="s">
        <v>98</v>
      </c>
      <c r="F204" s="7" t="str">
        <f t="shared" si="3"/>
        <v>70-B3-D5-1F-31-AA-02-10_IS2_DUIS3.1</v>
      </c>
    </row>
    <row r="205" spans="1:6" x14ac:dyDescent="0.3">
      <c r="A205" s="3" t="s">
        <v>109</v>
      </c>
      <c r="B205" s="3" t="s">
        <v>593</v>
      </c>
      <c r="C205" s="1" t="s">
        <v>24</v>
      </c>
      <c r="D205" s="7" t="s">
        <v>615</v>
      </c>
      <c r="E205" s="1" t="s">
        <v>98</v>
      </c>
      <c r="F205" s="7" t="str">
        <f t="shared" si="3"/>
        <v>70-B3-D5-1F-31-AA-02-11_ES_DUIS3.1</v>
      </c>
    </row>
    <row r="206" spans="1:6" x14ac:dyDescent="0.3">
      <c r="A206" s="3" t="s">
        <v>110</v>
      </c>
      <c r="B206" s="3" t="s">
        <v>611</v>
      </c>
      <c r="C206" s="1" t="s">
        <v>607</v>
      </c>
      <c r="D206" s="7" t="s">
        <v>615</v>
      </c>
      <c r="E206" s="1" t="s">
        <v>98</v>
      </c>
      <c r="F206" s="7" t="str">
        <f t="shared" si="3"/>
        <v>70-B3-D5-1F-31-AA-02-12_GS1_DUIS3.1</v>
      </c>
    </row>
    <row r="207" spans="1:6" x14ac:dyDescent="0.3">
      <c r="A207" s="3" t="s">
        <v>111</v>
      </c>
      <c r="B207" s="3" t="s">
        <v>612</v>
      </c>
      <c r="C207" s="1" t="s">
        <v>606</v>
      </c>
      <c r="D207" s="7" t="s">
        <v>615</v>
      </c>
      <c r="E207" s="1" t="s">
        <v>98</v>
      </c>
      <c r="F207" s="7" t="str">
        <f t="shared" si="3"/>
        <v>70-B3-D5-1F-31-AA-02-13_GS2_DUIS3.1</v>
      </c>
    </row>
    <row r="208" spans="1:6" x14ac:dyDescent="0.3">
      <c r="A208" s="3" t="s">
        <v>112</v>
      </c>
      <c r="B208" s="3" t="s">
        <v>594</v>
      </c>
      <c r="C208" s="1" t="s">
        <v>33</v>
      </c>
      <c r="D208" s="7" t="s">
        <v>615</v>
      </c>
      <c r="E208" s="1" t="s">
        <v>98</v>
      </c>
      <c r="F208" s="7" t="str">
        <f t="shared" si="3"/>
        <v>70-B3-D5-1F-31-AA-02-14_ED_DUIS3.1</v>
      </c>
    </row>
    <row r="209" spans="1:6" x14ac:dyDescent="0.3">
      <c r="A209" s="3" t="s">
        <v>113</v>
      </c>
      <c r="B209" s="3" t="s">
        <v>596</v>
      </c>
      <c r="C209" s="1" t="s">
        <v>35</v>
      </c>
      <c r="D209" s="7" t="s">
        <v>615</v>
      </c>
      <c r="E209" s="1" t="s">
        <v>98</v>
      </c>
      <c r="F209" s="7" t="str">
        <f t="shared" si="3"/>
        <v>70-B3-D5-1F-31-AA-02-15_GT_DUIS3.1</v>
      </c>
    </row>
    <row r="210" spans="1:6" x14ac:dyDescent="0.3">
      <c r="A210" s="3" t="s">
        <v>114</v>
      </c>
      <c r="B210" s="3" t="s">
        <v>597</v>
      </c>
      <c r="C210" s="1" t="s">
        <v>37</v>
      </c>
      <c r="D210" s="7" t="s">
        <v>615</v>
      </c>
      <c r="E210" s="1" t="s">
        <v>98</v>
      </c>
      <c r="F210" s="7" t="str">
        <f t="shared" si="3"/>
        <v>70-B3-D5-1F-31-AA-02-16_RSA_DUIS3.1</v>
      </c>
    </row>
    <row r="211" spans="1:6" x14ac:dyDescent="0.3">
      <c r="A211" s="3" t="s">
        <v>115</v>
      </c>
      <c r="B211" s="3" t="s">
        <v>601</v>
      </c>
      <c r="C211" s="1" t="s">
        <v>40</v>
      </c>
      <c r="D211" s="7" t="s">
        <v>615</v>
      </c>
      <c r="E211" s="1" t="s">
        <v>98</v>
      </c>
      <c r="F211" s="7" t="str">
        <f t="shared" si="3"/>
        <v>70-B3-D5-1F-31-AA-02-17_OU_DUIS3.1</v>
      </c>
    </row>
    <row r="212" spans="1:6" x14ac:dyDescent="0.3">
      <c r="A212" s="3" t="s">
        <v>116</v>
      </c>
      <c r="B212" s="3" t="s">
        <v>609</v>
      </c>
      <c r="C212" s="1" t="s">
        <v>604</v>
      </c>
      <c r="D212" s="7" t="s">
        <v>616</v>
      </c>
      <c r="E212" s="1" t="s">
        <v>98</v>
      </c>
      <c r="F212" s="7" t="str">
        <f t="shared" si="3"/>
        <v>70-B3-D5-1F-31-AA-02-18_IS1_DUIS4.0</v>
      </c>
    </row>
    <row r="213" spans="1:6" x14ac:dyDescent="0.3">
      <c r="A213" s="3" t="s">
        <v>117</v>
      </c>
      <c r="B213" s="3" t="s">
        <v>610</v>
      </c>
      <c r="C213" s="1" t="s">
        <v>605</v>
      </c>
      <c r="D213" s="7" t="s">
        <v>616</v>
      </c>
      <c r="E213" s="1" t="s">
        <v>98</v>
      </c>
      <c r="F213" s="7" t="str">
        <f t="shared" si="3"/>
        <v>70-B3-D5-1F-31-AA-02-19_IS2_DUIS4.0</v>
      </c>
    </row>
    <row r="214" spans="1:6" x14ac:dyDescent="0.3">
      <c r="A214" s="3" t="s">
        <v>118</v>
      </c>
      <c r="B214" s="3" t="s">
        <v>593</v>
      </c>
      <c r="C214" s="1" t="s">
        <v>24</v>
      </c>
      <c r="D214" s="7" t="s">
        <v>616</v>
      </c>
      <c r="E214" s="1" t="s">
        <v>98</v>
      </c>
      <c r="F214" s="7" t="str">
        <f t="shared" si="3"/>
        <v>70-B3-D5-1F-31-AA-02-20_ES_DUIS4.0</v>
      </c>
    </row>
    <row r="215" spans="1:6" x14ac:dyDescent="0.3">
      <c r="A215" s="3" t="s">
        <v>119</v>
      </c>
      <c r="B215" s="3" t="s">
        <v>611</v>
      </c>
      <c r="C215" s="1" t="s">
        <v>607</v>
      </c>
      <c r="D215" s="7" t="s">
        <v>616</v>
      </c>
      <c r="E215" s="1" t="s">
        <v>98</v>
      </c>
      <c r="F215" s="7" t="str">
        <f t="shared" si="3"/>
        <v>70-B3-D5-1F-31-AA-02-21_GS1_DUIS4.0</v>
      </c>
    </row>
    <row r="216" spans="1:6" x14ac:dyDescent="0.3">
      <c r="A216" s="3" t="s">
        <v>120</v>
      </c>
      <c r="B216" s="3" t="s">
        <v>612</v>
      </c>
      <c r="C216" s="1" t="s">
        <v>606</v>
      </c>
      <c r="D216" s="7" t="s">
        <v>616</v>
      </c>
      <c r="E216" s="1" t="s">
        <v>98</v>
      </c>
      <c r="F216" s="7" t="str">
        <f t="shared" si="3"/>
        <v>70-B3-D5-1F-31-AA-02-22_GS2_DUIS4.0</v>
      </c>
    </row>
    <row r="217" spans="1:6" x14ac:dyDescent="0.3">
      <c r="A217" s="3" t="s">
        <v>121</v>
      </c>
      <c r="B217" s="3" t="s">
        <v>594</v>
      </c>
      <c r="C217" s="1" t="s">
        <v>33</v>
      </c>
      <c r="D217" s="7" t="s">
        <v>616</v>
      </c>
      <c r="E217" s="1" t="s">
        <v>98</v>
      </c>
      <c r="F217" s="7" t="str">
        <f t="shared" si="3"/>
        <v>70-B3-D5-1F-31-AA-02-23_ED_DUIS4.0</v>
      </c>
    </row>
    <row r="218" spans="1:6" x14ac:dyDescent="0.3">
      <c r="A218" s="3" t="s">
        <v>122</v>
      </c>
      <c r="B218" s="3" t="s">
        <v>596</v>
      </c>
      <c r="C218" s="1" t="s">
        <v>35</v>
      </c>
      <c r="D218" s="7" t="s">
        <v>616</v>
      </c>
      <c r="E218" s="1" t="s">
        <v>98</v>
      </c>
      <c r="F218" s="7" t="str">
        <f t="shared" si="3"/>
        <v>70-B3-D5-1F-31-AA-02-24_GT_DUIS4.0</v>
      </c>
    </row>
    <row r="219" spans="1:6" x14ac:dyDescent="0.3">
      <c r="A219" s="3" t="s">
        <v>123</v>
      </c>
      <c r="B219" s="3" t="s">
        <v>597</v>
      </c>
      <c r="C219" s="1" t="s">
        <v>37</v>
      </c>
      <c r="D219" s="7" t="s">
        <v>616</v>
      </c>
      <c r="E219" s="1" t="s">
        <v>98</v>
      </c>
      <c r="F219" s="7" t="str">
        <f t="shared" si="3"/>
        <v>70-B3-D5-1F-31-AA-02-25_RSA_DUIS4.0</v>
      </c>
    </row>
    <row r="220" spans="1:6" x14ac:dyDescent="0.3">
      <c r="A220" s="3" t="s">
        <v>124</v>
      </c>
      <c r="B220" s="3" t="s">
        <v>601</v>
      </c>
      <c r="C220" s="1" t="s">
        <v>40</v>
      </c>
      <c r="D220" s="7" t="s">
        <v>616</v>
      </c>
      <c r="E220" s="1" t="s">
        <v>98</v>
      </c>
      <c r="F220" s="7" t="str">
        <f t="shared" si="3"/>
        <v>70-B3-D5-1F-31-AA-02-26_OU_DUIS4.0</v>
      </c>
    </row>
    <row r="221" spans="1:6" x14ac:dyDescent="0.3">
      <c r="A221" s="3" t="s">
        <v>125</v>
      </c>
      <c r="B221" s="3" t="s">
        <v>609</v>
      </c>
      <c r="C221" s="1" t="s">
        <v>604</v>
      </c>
      <c r="D221" s="7" t="s">
        <v>617</v>
      </c>
      <c r="E221" s="1" t="s">
        <v>98</v>
      </c>
      <c r="F221" s="7" t="str">
        <f t="shared" si="3"/>
        <v>70-B3-D5-1F-31-AA-02-27_IS1_DUIS5.0</v>
      </c>
    </row>
    <row r="222" spans="1:6" x14ac:dyDescent="0.3">
      <c r="A222" s="3" t="s">
        <v>126</v>
      </c>
      <c r="B222" s="3" t="s">
        <v>610</v>
      </c>
      <c r="C222" s="1" t="s">
        <v>605</v>
      </c>
      <c r="D222" s="7" t="s">
        <v>617</v>
      </c>
      <c r="E222" s="1" t="s">
        <v>98</v>
      </c>
      <c r="F222" s="7" t="str">
        <f t="shared" si="3"/>
        <v>70-B3-D5-1F-31-AA-02-28_IS2_DUIS5.0</v>
      </c>
    </row>
    <row r="223" spans="1:6" x14ac:dyDescent="0.3">
      <c r="A223" s="3" t="s">
        <v>127</v>
      </c>
      <c r="B223" s="3" t="s">
        <v>593</v>
      </c>
      <c r="C223" s="1" t="s">
        <v>24</v>
      </c>
      <c r="D223" s="7" t="s">
        <v>617</v>
      </c>
      <c r="E223" s="1" t="s">
        <v>98</v>
      </c>
      <c r="F223" s="7" t="str">
        <f t="shared" si="3"/>
        <v>70-B3-D5-1F-31-AA-02-29_ES_DUIS5.0</v>
      </c>
    </row>
    <row r="224" spans="1:6" x14ac:dyDescent="0.3">
      <c r="A224" s="3" t="s">
        <v>128</v>
      </c>
      <c r="B224" s="3" t="s">
        <v>611</v>
      </c>
      <c r="C224" s="1" t="s">
        <v>607</v>
      </c>
      <c r="D224" s="7" t="s">
        <v>617</v>
      </c>
      <c r="E224" s="1" t="s">
        <v>98</v>
      </c>
      <c r="F224" s="7" t="str">
        <f t="shared" si="3"/>
        <v>70-B3-D5-1F-31-AA-02-30_GS1_DUIS5.0</v>
      </c>
    </row>
    <row r="225" spans="1:6" x14ac:dyDescent="0.3">
      <c r="A225" s="3" t="s">
        <v>129</v>
      </c>
      <c r="B225" s="3" t="s">
        <v>612</v>
      </c>
      <c r="C225" s="1" t="s">
        <v>606</v>
      </c>
      <c r="D225" s="7" t="s">
        <v>617</v>
      </c>
      <c r="E225" s="1" t="s">
        <v>98</v>
      </c>
      <c r="F225" s="7" t="str">
        <f t="shared" si="3"/>
        <v>70-B3-D5-1F-31-AA-02-31_GS2_DUIS5.0</v>
      </c>
    </row>
    <row r="226" spans="1:6" x14ac:dyDescent="0.3">
      <c r="A226" s="3" t="s">
        <v>130</v>
      </c>
      <c r="B226" s="3" t="s">
        <v>594</v>
      </c>
      <c r="C226" s="1" t="s">
        <v>33</v>
      </c>
      <c r="D226" s="7" t="s">
        <v>617</v>
      </c>
      <c r="E226" s="1" t="s">
        <v>98</v>
      </c>
      <c r="F226" s="7" t="str">
        <f t="shared" si="3"/>
        <v>70-B3-D5-1F-31-AA-02-32_ED_DUIS5.0</v>
      </c>
    </row>
    <row r="227" spans="1:6" x14ac:dyDescent="0.3">
      <c r="A227" s="3" t="s">
        <v>131</v>
      </c>
      <c r="B227" s="3" t="s">
        <v>596</v>
      </c>
      <c r="C227" s="1" t="s">
        <v>35</v>
      </c>
      <c r="D227" s="7" t="s">
        <v>617</v>
      </c>
      <c r="E227" s="1" t="s">
        <v>98</v>
      </c>
      <c r="F227" s="7" t="str">
        <f t="shared" si="3"/>
        <v>70-B3-D5-1F-31-AA-02-33_GT_DUIS5.0</v>
      </c>
    </row>
    <row r="228" spans="1:6" x14ac:dyDescent="0.3">
      <c r="A228" s="3" t="s">
        <v>132</v>
      </c>
      <c r="B228" s="3" t="s">
        <v>597</v>
      </c>
      <c r="C228" s="1" t="s">
        <v>37</v>
      </c>
      <c r="D228" s="7" t="s">
        <v>617</v>
      </c>
      <c r="E228" s="1" t="s">
        <v>98</v>
      </c>
      <c r="F228" s="7" t="str">
        <f t="shared" si="3"/>
        <v>70-B3-D5-1F-31-AA-02-34_RSA_DUIS5.0</v>
      </c>
    </row>
    <row r="229" spans="1:6" x14ac:dyDescent="0.3">
      <c r="A229" s="3" t="s">
        <v>133</v>
      </c>
      <c r="B229" s="3" t="s">
        <v>601</v>
      </c>
      <c r="C229" s="1" t="s">
        <v>40</v>
      </c>
      <c r="D229" s="7" t="s">
        <v>617</v>
      </c>
      <c r="E229" s="1" t="s">
        <v>98</v>
      </c>
      <c r="F229" s="7" t="str">
        <f t="shared" si="3"/>
        <v>70-B3-D5-1F-31-AA-02-35_OU_DUIS5.0</v>
      </c>
    </row>
    <row r="230" spans="1:6" x14ac:dyDescent="0.3">
      <c r="A230" s="3" t="s">
        <v>134</v>
      </c>
      <c r="B230" s="3" t="s">
        <v>609</v>
      </c>
      <c r="C230" s="1" t="s">
        <v>604</v>
      </c>
      <c r="D230" s="7" t="s">
        <v>618</v>
      </c>
      <c r="E230" s="1" t="s">
        <v>98</v>
      </c>
      <c r="F230" s="7" t="str">
        <f t="shared" si="3"/>
        <v>70-B3-D5-1F-31-AA-02-36_IS1_DUIS5.1</v>
      </c>
    </row>
    <row r="231" spans="1:6" x14ac:dyDescent="0.3">
      <c r="A231" s="3" t="s">
        <v>135</v>
      </c>
      <c r="B231" s="3" t="s">
        <v>610</v>
      </c>
      <c r="C231" s="1" t="s">
        <v>605</v>
      </c>
      <c r="D231" s="7" t="s">
        <v>618</v>
      </c>
      <c r="E231" s="1" t="s">
        <v>98</v>
      </c>
      <c r="F231" s="7" t="str">
        <f t="shared" si="3"/>
        <v>70-B3-D5-1F-31-AA-02-37_IS2_DUIS5.1</v>
      </c>
    </row>
    <row r="232" spans="1:6" x14ac:dyDescent="0.3">
      <c r="A232" s="3" t="s">
        <v>136</v>
      </c>
      <c r="B232" s="3" t="s">
        <v>593</v>
      </c>
      <c r="C232" s="1" t="s">
        <v>24</v>
      </c>
      <c r="D232" s="7" t="s">
        <v>618</v>
      </c>
      <c r="E232" s="1" t="s">
        <v>98</v>
      </c>
      <c r="F232" s="7" t="str">
        <f t="shared" si="3"/>
        <v>70-B3-D5-1F-31-AA-02-38_ES_DUIS5.1</v>
      </c>
    </row>
    <row r="233" spans="1:6" x14ac:dyDescent="0.3">
      <c r="A233" s="3" t="s">
        <v>137</v>
      </c>
      <c r="B233" s="3" t="s">
        <v>611</v>
      </c>
      <c r="C233" s="1" t="s">
        <v>607</v>
      </c>
      <c r="D233" s="7" t="s">
        <v>618</v>
      </c>
      <c r="E233" s="1" t="s">
        <v>98</v>
      </c>
      <c r="F233" s="7" t="str">
        <f t="shared" si="3"/>
        <v>70-B3-D5-1F-31-AA-02-39_GS1_DUIS5.1</v>
      </c>
    </row>
    <row r="234" spans="1:6" x14ac:dyDescent="0.3">
      <c r="A234" s="3" t="s">
        <v>138</v>
      </c>
      <c r="B234" s="3" t="s">
        <v>612</v>
      </c>
      <c r="C234" s="1" t="s">
        <v>606</v>
      </c>
      <c r="D234" s="7" t="s">
        <v>618</v>
      </c>
      <c r="E234" s="1" t="s">
        <v>98</v>
      </c>
      <c r="F234" s="7" t="str">
        <f t="shared" si="3"/>
        <v>70-B3-D5-1F-31-AA-02-40_GS2_DUIS5.1</v>
      </c>
    </row>
    <row r="235" spans="1:6" x14ac:dyDescent="0.3">
      <c r="A235" s="3" t="s">
        <v>139</v>
      </c>
      <c r="B235" s="3" t="s">
        <v>594</v>
      </c>
      <c r="C235" s="1" t="s">
        <v>33</v>
      </c>
      <c r="D235" s="7" t="s">
        <v>618</v>
      </c>
      <c r="E235" s="1" t="s">
        <v>98</v>
      </c>
      <c r="F235" s="7" t="str">
        <f t="shared" si="3"/>
        <v>70-B3-D5-1F-31-AA-02-41_ED_DUIS5.1</v>
      </c>
    </row>
    <row r="236" spans="1:6" x14ac:dyDescent="0.3">
      <c r="A236" s="3" t="s">
        <v>140</v>
      </c>
      <c r="B236" s="3" t="s">
        <v>596</v>
      </c>
      <c r="C236" s="1" t="s">
        <v>35</v>
      </c>
      <c r="D236" s="7" t="s">
        <v>618</v>
      </c>
      <c r="E236" s="1" t="s">
        <v>98</v>
      </c>
      <c r="F236" s="7" t="str">
        <f t="shared" si="3"/>
        <v>70-B3-D5-1F-31-AA-02-42_GT_DUIS5.1</v>
      </c>
    </row>
    <row r="237" spans="1:6" x14ac:dyDescent="0.3">
      <c r="A237" s="3" t="s">
        <v>141</v>
      </c>
      <c r="B237" s="3" t="s">
        <v>597</v>
      </c>
      <c r="C237" s="1" t="s">
        <v>37</v>
      </c>
      <c r="D237" s="7" t="s">
        <v>618</v>
      </c>
      <c r="E237" s="1" t="s">
        <v>98</v>
      </c>
      <c r="F237" s="7" t="str">
        <f t="shared" si="3"/>
        <v>70-B3-D5-1F-31-AA-02-43_RSA_DUIS5.1</v>
      </c>
    </row>
    <row r="238" spans="1:6" x14ac:dyDescent="0.3">
      <c r="A238" s="3" t="s">
        <v>142</v>
      </c>
      <c r="B238" s="3" t="s">
        <v>601</v>
      </c>
      <c r="C238" s="1" t="s">
        <v>40</v>
      </c>
      <c r="D238" s="7" t="s">
        <v>618</v>
      </c>
      <c r="E238" s="1" t="s">
        <v>98</v>
      </c>
      <c r="F238" s="7" t="str">
        <f t="shared" si="3"/>
        <v>70-B3-D5-1F-31-AA-02-44_OU_DUIS5.1</v>
      </c>
    </row>
    <row r="239" spans="1:6" x14ac:dyDescent="0.3">
      <c r="A239" s="3" t="s">
        <v>143</v>
      </c>
      <c r="B239" s="3" t="s">
        <v>609</v>
      </c>
      <c r="C239" s="1" t="s">
        <v>604</v>
      </c>
      <c r="D239" s="7" t="s">
        <v>619</v>
      </c>
      <c r="E239" s="1" t="s">
        <v>98</v>
      </c>
      <c r="F239" s="7" t="str">
        <f t="shared" si="3"/>
        <v>70-B3-D5-1F-31-AA-02-45_IS1_DUIS5.2</v>
      </c>
    </row>
    <row r="240" spans="1:6" x14ac:dyDescent="0.3">
      <c r="A240" s="3" t="s">
        <v>144</v>
      </c>
      <c r="B240" s="3" t="s">
        <v>610</v>
      </c>
      <c r="C240" s="1" t="s">
        <v>605</v>
      </c>
      <c r="D240" s="7" t="s">
        <v>619</v>
      </c>
      <c r="E240" s="1" t="s">
        <v>98</v>
      </c>
      <c r="F240" s="7" t="str">
        <f t="shared" si="3"/>
        <v>70-B3-D5-1F-31-AA-02-46_IS2_DUIS5.2</v>
      </c>
    </row>
    <row r="241" spans="1:6" x14ac:dyDescent="0.3">
      <c r="A241" s="3" t="s">
        <v>145</v>
      </c>
      <c r="B241" s="3" t="s">
        <v>593</v>
      </c>
      <c r="C241" s="1" t="s">
        <v>24</v>
      </c>
      <c r="D241" s="7" t="s">
        <v>619</v>
      </c>
      <c r="E241" s="1" t="s">
        <v>98</v>
      </c>
      <c r="F241" s="7" t="str">
        <f t="shared" si="3"/>
        <v>70-B3-D5-1F-31-AA-02-47_ES_DUIS5.2</v>
      </c>
    </row>
    <row r="242" spans="1:6" x14ac:dyDescent="0.3">
      <c r="A242" s="3" t="s">
        <v>146</v>
      </c>
      <c r="B242" s="3" t="s">
        <v>611</v>
      </c>
      <c r="C242" s="1" t="s">
        <v>607</v>
      </c>
      <c r="D242" s="7" t="s">
        <v>619</v>
      </c>
      <c r="E242" s="1" t="s">
        <v>98</v>
      </c>
      <c r="F242" s="7" t="str">
        <f t="shared" si="3"/>
        <v>70-B3-D5-1F-31-AA-02-48_GS1_DUIS5.2</v>
      </c>
    </row>
    <row r="243" spans="1:6" x14ac:dyDescent="0.3">
      <c r="A243" s="3" t="s">
        <v>147</v>
      </c>
      <c r="B243" s="3" t="s">
        <v>612</v>
      </c>
      <c r="C243" s="1" t="s">
        <v>606</v>
      </c>
      <c r="D243" s="7" t="s">
        <v>619</v>
      </c>
      <c r="E243" s="1" t="s">
        <v>98</v>
      </c>
      <c r="F243" s="7" t="str">
        <f t="shared" si="3"/>
        <v>70-B3-D5-1F-31-AA-02-49_GS2_DUIS5.2</v>
      </c>
    </row>
    <row r="244" spans="1:6" x14ac:dyDescent="0.3">
      <c r="A244" s="3" t="s">
        <v>148</v>
      </c>
      <c r="B244" s="3" t="s">
        <v>594</v>
      </c>
      <c r="C244" s="1" t="s">
        <v>33</v>
      </c>
      <c r="D244" s="7" t="s">
        <v>619</v>
      </c>
      <c r="E244" s="1" t="s">
        <v>98</v>
      </c>
      <c r="F244" s="7" t="str">
        <f t="shared" si="3"/>
        <v>70-B3-D5-1F-31-AA-02-50_ED_DUIS5.2</v>
      </c>
    </row>
    <row r="245" spans="1:6" x14ac:dyDescent="0.3">
      <c r="A245" s="3" t="s">
        <v>149</v>
      </c>
      <c r="B245" s="3" t="s">
        <v>596</v>
      </c>
      <c r="C245" s="1" t="s">
        <v>35</v>
      </c>
      <c r="D245" s="7" t="s">
        <v>619</v>
      </c>
      <c r="E245" s="1" t="s">
        <v>98</v>
      </c>
      <c r="F245" s="7" t="str">
        <f t="shared" si="3"/>
        <v>70-B3-D5-1F-31-AA-02-51_GT_DUIS5.2</v>
      </c>
    </row>
    <row r="246" spans="1:6" x14ac:dyDescent="0.3">
      <c r="A246" s="3" t="s">
        <v>150</v>
      </c>
      <c r="B246" s="3" t="s">
        <v>597</v>
      </c>
      <c r="C246" s="1" t="s">
        <v>37</v>
      </c>
      <c r="D246" s="7" t="s">
        <v>619</v>
      </c>
      <c r="E246" s="1" t="s">
        <v>98</v>
      </c>
      <c r="F246" s="7" t="str">
        <f t="shared" si="3"/>
        <v>70-B3-D5-1F-31-AA-02-52_RSA_DUIS5.2</v>
      </c>
    </row>
    <row r="247" spans="1:6" x14ac:dyDescent="0.3">
      <c r="A247" s="3" t="s">
        <v>151</v>
      </c>
      <c r="B247" s="3" t="s">
        <v>601</v>
      </c>
      <c r="C247" s="1" t="s">
        <v>40</v>
      </c>
      <c r="D247" s="7" t="s">
        <v>619</v>
      </c>
      <c r="E247" s="1" t="s">
        <v>98</v>
      </c>
      <c r="F247" s="7" t="str">
        <f t="shared" si="3"/>
        <v>70-B3-D5-1F-31-AA-02-53_OU_DUIS5.2</v>
      </c>
    </row>
    <row r="248" spans="1:6" x14ac:dyDescent="0.3">
      <c r="A248" s="3" t="s">
        <v>152</v>
      </c>
      <c r="B248" s="3" t="s">
        <v>609</v>
      </c>
      <c r="C248" s="1" t="s">
        <v>604</v>
      </c>
      <c r="D248" s="7" t="s">
        <v>620</v>
      </c>
      <c r="E248" s="1" t="s">
        <v>98</v>
      </c>
      <c r="F248" s="7" t="str">
        <f t="shared" si="3"/>
        <v>70-B3-D5-1F-31-AA-02-54_IS1_DUIS5.3</v>
      </c>
    </row>
    <row r="249" spans="1:6" x14ac:dyDescent="0.3">
      <c r="A249" s="3" t="s">
        <v>153</v>
      </c>
      <c r="B249" s="3" t="s">
        <v>610</v>
      </c>
      <c r="C249" s="1" t="s">
        <v>605</v>
      </c>
      <c r="D249" s="7" t="s">
        <v>620</v>
      </c>
      <c r="E249" s="1" t="s">
        <v>98</v>
      </c>
      <c r="F249" s="7" t="str">
        <f t="shared" si="3"/>
        <v>70-B3-D5-1F-31-AA-02-55_IS2_DUIS5.3</v>
      </c>
    </row>
    <row r="250" spans="1:6" x14ac:dyDescent="0.3">
      <c r="A250" s="3" t="s">
        <v>154</v>
      </c>
      <c r="B250" s="3" t="s">
        <v>593</v>
      </c>
      <c r="C250" s="1" t="s">
        <v>24</v>
      </c>
      <c r="D250" s="7" t="s">
        <v>620</v>
      </c>
      <c r="E250" s="1" t="s">
        <v>98</v>
      </c>
      <c r="F250" s="7" t="str">
        <f t="shared" si="3"/>
        <v>70-B3-D5-1F-31-AA-02-56_ES_DUIS5.3</v>
      </c>
    </row>
    <row r="251" spans="1:6" x14ac:dyDescent="0.3">
      <c r="A251" s="3" t="s">
        <v>155</v>
      </c>
      <c r="B251" s="3" t="s">
        <v>611</v>
      </c>
      <c r="C251" s="1" t="s">
        <v>607</v>
      </c>
      <c r="D251" s="7" t="s">
        <v>620</v>
      </c>
      <c r="E251" s="1" t="s">
        <v>98</v>
      </c>
      <c r="F251" s="7" t="str">
        <f t="shared" si="3"/>
        <v>70-B3-D5-1F-31-AA-02-57_GS1_DUIS5.3</v>
      </c>
    </row>
    <row r="252" spans="1:6" x14ac:dyDescent="0.3">
      <c r="A252" s="3" t="s">
        <v>156</v>
      </c>
      <c r="B252" s="3" t="s">
        <v>612</v>
      </c>
      <c r="C252" s="1" t="s">
        <v>606</v>
      </c>
      <c r="D252" s="7" t="s">
        <v>620</v>
      </c>
      <c r="E252" s="1" t="s">
        <v>98</v>
      </c>
      <c r="F252" s="7" t="str">
        <f t="shared" si="3"/>
        <v>70-B3-D5-1F-31-AA-02-58_GS2_DUIS5.3</v>
      </c>
    </row>
    <row r="253" spans="1:6" x14ac:dyDescent="0.3">
      <c r="A253" s="3" t="s">
        <v>157</v>
      </c>
      <c r="B253" s="3" t="s">
        <v>594</v>
      </c>
      <c r="C253" s="1" t="s">
        <v>33</v>
      </c>
      <c r="D253" s="7" t="s">
        <v>620</v>
      </c>
      <c r="E253" s="1" t="s">
        <v>98</v>
      </c>
      <c r="F253" s="7" t="str">
        <f t="shared" si="3"/>
        <v>70-B3-D5-1F-31-AA-02-59_ED_DUIS5.3</v>
      </c>
    </row>
    <row r="254" spans="1:6" x14ac:dyDescent="0.3">
      <c r="A254" s="3" t="s">
        <v>158</v>
      </c>
      <c r="B254" s="3" t="s">
        <v>596</v>
      </c>
      <c r="C254" s="1" t="s">
        <v>35</v>
      </c>
      <c r="D254" s="7" t="s">
        <v>620</v>
      </c>
      <c r="E254" s="1" t="s">
        <v>98</v>
      </c>
      <c r="F254" s="7" t="str">
        <f t="shared" si="3"/>
        <v>70-B3-D5-1F-31-AA-02-60_GT_DUIS5.3</v>
      </c>
    </row>
    <row r="255" spans="1:6" x14ac:dyDescent="0.3">
      <c r="A255" s="3" t="s">
        <v>159</v>
      </c>
      <c r="B255" s="3" t="s">
        <v>597</v>
      </c>
      <c r="C255" s="1" t="s">
        <v>37</v>
      </c>
      <c r="D255" s="7" t="s">
        <v>620</v>
      </c>
      <c r="E255" s="1" t="s">
        <v>98</v>
      </c>
      <c r="F255" s="7" t="str">
        <f t="shared" si="3"/>
        <v>70-B3-D5-1F-31-AA-02-61_RSA_DUIS5.3</v>
      </c>
    </row>
    <row r="256" spans="1:6" x14ac:dyDescent="0.3">
      <c r="A256" s="3" t="s">
        <v>160</v>
      </c>
      <c r="B256" s="3" t="s">
        <v>601</v>
      </c>
      <c r="C256" s="1" t="s">
        <v>40</v>
      </c>
      <c r="D256" s="7" t="s">
        <v>620</v>
      </c>
      <c r="E256" s="1" t="s">
        <v>98</v>
      </c>
      <c r="F256" s="7" t="str">
        <f t="shared" si="3"/>
        <v>70-B3-D5-1F-31-AA-02-62_OU_DUIS5.3</v>
      </c>
    </row>
    <row r="257" spans="1:6" x14ac:dyDescent="0.3">
      <c r="A257" s="3" t="s">
        <v>161</v>
      </c>
      <c r="B257" s="3" t="s">
        <v>602</v>
      </c>
      <c r="C257" s="1" t="s">
        <v>96</v>
      </c>
      <c r="D257" s="7" t="s">
        <v>620</v>
      </c>
      <c r="E257" s="1" t="s">
        <v>98</v>
      </c>
      <c r="F257" s="7" t="str">
        <f t="shared" si="3"/>
        <v>70-B3-D5-1F-31-AA-02-63_MDR_DUIS5.3</v>
      </c>
    </row>
  </sheetData>
  <autoFilter ref="A1:E257" xr:uid="{8AC628D9-4309-4D62-97DC-1CC84D7BEDC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39FB-9500-4DAA-A857-E4772F96826A}">
  <dimension ref="A1:I19"/>
  <sheetViews>
    <sheetView workbookViewId="0">
      <selection activeCell="H2" sqref="H2"/>
    </sheetView>
  </sheetViews>
  <sheetFormatPr defaultRowHeight="14.4" x14ac:dyDescent="0.3"/>
  <cols>
    <col min="1" max="1" width="23" customWidth="1"/>
    <col min="2" max="2" width="20.109375" customWidth="1"/>
    <col min="3" max="3" width="23.44140625" customWidth="1"/>
    <col min="4" max="4" width="20.109375" customWidth="1"/>
    <col min="5" max="5" width="24" customWidth="1"/>
    <col min="6" max="6" width="20.109375" customWidth="1"/>
    <col min="7" max="7" width="20.88671875" bestFit="1" customWidth="1"/>
    <col min="8" max="8" width="19.88671875" bestFit="1" customWidth="1"/>
    <col min="9" max="9" width="20.88671875" bestFit="1" customWidth="1"/>
  </cols>
  <sheetData>
    <row r="1" spans="1:9" x14ac:dyDescent="0.3">
      <c r="B1" s="60" t="s">
        <v>582</v>
      </c>
      <c r="C1" s="60"/>
      <c r="D1" s="60" t="s">
        <v>583</v>
      </c>
      <c r="E1" s="60"/>
      <c r="F1" s="60" t="s">
        <v>584</v>
      </c>
      <c r="G1" s="60"/>
      <c r="H1" s="60" t="s">
        <v>585</v>
      </c>
      <c r="I1" s="60"/>
    </row>
    <row r="2" spans="1:9" ht="43.2" x14ac:dyDescent="0.3">
      <c r="A2" s="44"/>
      <c r="B2" s="48" t="s">
        <v>586</v>
      </c>
      <c r="C2" s="47" t="s">
        <v>587</v>
      </c>
      <c r="D2" s="48" t="s">
        <v>586</v>
      </c>
      <c r="E2" s="47" t="s">
        <v>587</v>
      </c>
      <c r="F2" s="48" t="s">
        <v>586</v>
      </c>
      <c r="G2" s="47" t="s">
        <v>587</v>
      </c>
      <c r="H2" s="48" t="s">
        <v>586</v>
      </c>
      <c r="I2" s="47" t="s">
        <v>587</v>
      </c>
    </row>
    <row r="3" spans="1:9" x14ac:dyDescent="0.3">
      <c r="A3" s="7" t="s">
        <v>588</v>
      </c>
      <c r="B3" s="45" t="s">
        <v>589</v>
      </c>
      <c r="C3" s="49" t="s">
        <v>590</v>
      </c>
      <c r="D3" s="45" t="s">
        <v>589</v>
      </c>
      <c r="E3" s="49" t="s">
        <v>590</v>
      </c>
      <c r="F3" s="45" t="s">
        <v>589</v>
      </c>
      <c r="G3" s="49" t="s">
        <v>590</v>
      </c>
      <c r="H3" s="46">
        <v>87</v>
      </c>
      <c r="I3" s="49" t="s">
        <v>19</v>
      </c>
    </row>
    <row r="4" spans="1:9" x14ac:dyDescent="0.3">
      <c r="A4" s="7" t="s">
        <v>591</v>
      </c>
      <c r="B4" s="45" t="s">
        <v>589</v>
      </c>
      <c r="C4" s="49" t="s">
        <v>592</v>
      </c>
      <c r="D4" s="45" t="s">
        <v>589</v>
      </c>
      <c r="E4" s="49" t="s">
        <v>592</v>
      </c>
      <c r="F4" s="45" t="s">
        <v>589</v>
      </c>
      <c r="G4" s="49" t="s">
        <v>592</v>
      </c>
      <c r="H4" s="46">
        <v>87</v>
      </c>
      <c r="I4" s="49" t="s">
        <v>29</v>
      </c>
    </row>
    <row r="5" spans="1:9" x14ac:dyDescent="0.3">
      <c r="A5" s="7" t="s">
        <v>593</v>
      </c>
      <c r="B5" s="45" t="s">
        <v>589</v>
      </c>
      <c r="C5" s="19" t="s">
        <v>593</v>
      </c>
      <c r="D5" s="45" t="s">
        <v>589</v>
      </c>
      <c r="E5" s="19" t="s">
        <v>593</v>
      </c>
      <c r="F5" s="45" t="s">
        <v>25</v>
      </c>
      <c r="G5" s="7" t="s">
        <v>593</v>
      </c>
      <c r="H5" s="46">
        <v>87</v>
      </c>
      <c r="I5" s="9" t="s">
        <v>19</v>
      </c>
    </row>
    <row r="6" spans="1:9" x14ac:dyDescent="0.3">
      <c r="A6" s="7" t="s">
        <v>594</v>
      </c>
      <c r="B6" s="45" t="s">
        <v>595</v>
      </c>
      <c r="C6" s="19" t="s">
        <v>594</v>
      </c>
      <c r="D6" s="45" t="s">
        <v>595</v>
      </c>
      <c r="E6" s="19" t="s">
        <v>594</v>
      </c>
      <c r="F6" s="45" t="s">
        <v>25</v>
      </c>
      <c r="G6" s="7" t="s">
        <v>594</v>
      </c>
      <c r="H6" s="46">
        <v>87</v>
      </c>
      <c r="I6" s="19" t="s">
        <v>19</v>
      </c>
    </row>
    <row r="7" spans="1:9" x14ac:dyDescent="0.3">
      <c r="A7" s="7" t="s">
        <v>596</v>
      </c>
      <c r="B7" s="45" t="s">
        <v>595</v>
      </c>
      <c r="C7" s="19" t="s">
        <v>596</v>
      </c>
      <c r="D7" s="45" t="s">
        <v>595</v>
      </c>
      <c r="E7" s="19" t="s">
        <v>596</v>
      </c>
      <c r="F7" s="45" t="s">
        <v>25</v>
      </c>
      <c r="G7" s="7" t="s">
        <v>596</v>
      </c>
      <c r="H7" s="50">
        <v>87</v>
      </c>
      <c r="I7" s="19" t="s">
        <v>29</v>
      </c>
    </row>
    <row r="8" spans="1:9" x14ac:dyDescent="0.3">
      <c r="A8" s="7" t="s">
        <v>597</v>
      </c>
      <c r="B8" s="45" t="s">
        <v>598</v>
      </c>
      <c r="C8" s="19" t="s">
        <v>597</v>
      </c>
      <c r="D8" s="45" t="s">
        <v>599</v>
      </c>
      <c r="E8" s="19" t="s">
        <v>597</v>
      </c>
      <c r="F8" s="45" t="s">
        <v>25</v>
      </c>
      <c r="G8" s="7" t="s">
        <v>597</v>
      </c>
      <c r="H8" s="46">
        <v>87</v>
      </c>
      <c r="I8" s="19" t="s">
        <v>600</v>
      </c>
    </row>
    <row r="9" spans="1:9" x14ac:dyDescent="0.3">
      <c r="A9" s="7" t="s">
        <v>601</v>
      </c>
      <c r="B9" s="45" t="s">
        <v>598</v>
      </c>
      <c r="C9" s="19" t="s">
        <v>601</v>
      </c>
      <c r="D9" s="45" t="s">
        <v>599</v>
      </c>
      <c r="E9" s="19" t="s">
        <v>601</v>
      </c>
      <c r="F9" s="45" t="s">
        <v>25</v>
      </c>
      <c r="G9" s="7" t="s">
        <v>601</v>
      </c>
      <c r="H9" s="46">
        <v>87</v>
      </c>
      <c r="I9" s="19" t="s">
        <v>600</v>
      </c>
    </row>
    <row r="10" spans="1:9" x14ac:dyDescent="0.3">
      <c r="A10" s="7" t="s">
        <v>602</v>
      </c>
      <c r="B10" s="45" t="s">
        <v>598</v>
      </c>
      <c r="C10" s="19" t="s">
        <v>602</v>
      </c>
      <c r="D10" s="45" t="s">
        <v>599</v>
      </c>
      <c r="E10" s="19" t="s">
        <v>602</v>
      </c>
      <c r="F10" s="45" t="s">
        <v>25</v>
      </c>
      <c r="G10" s="7" t="s">
        <v>602</v>
      </c>
      <c r="H10" s="46">
        <v>87</v>
      </c>
      <c r="I10" s="19" t="s">
        <v>600</v>
      </c>
    </row>
    <row r="12" spans="1:9" x14ac:dyDescent="0.3">
      <c r="B12" s="59" t="s">
        <v>603</v>
      </c>
      <c r="C12" s="59"/>
      <c r="D12" s="59"/>
      <c r="E12" s="59"/>
    </row>
    <row r="13" spans="1:9" x14ac:dyDescent="0.3">
      <c r="B13" s="59"/>
      <c r="C13" s="59"/>
      <c r="D13" s="59"/>
      <c r="E13" s="59"/>
    </row>
    <row r="14" spans="1:9" x14ac:dyDescent="0.3">
      <c r="B14" s="59"/>
      <c r="C14" s="59"/>
      <c r="D14" s="59"/>
      <c r="E14" s="59"/>
    </row>
    <row r="15" spans="1:9" x14ac:dyDescent="0.3">
      <c r="B15" s="59"/>
      <c r="C15" s="59"/>
      <c r="D15" s="59"/>
      <c r="E15" s="59"/>
    </row>
    <row r="16" spans="1:9" x14ac:dyDescent="0.3">
      <c r="B16" s="59"/>
      <c r="C16" s="59"/>
      <c r="D16" s="59"/>
      <c r="E16" s="59"/>
    </row>
    <row r="17" spans="2:5" x14ac:dyDescent="0.3">
      <c r="B17" s="59"/>
      <c r="C17" s="59"/>
      <c r="D17" s="59"/>
      <c r="E17" s="59"/>
    </row>
    <row r="18" spans="2:5" x14ac:dyDescent="0.3">
      <c r="B18" s="59"/>
      <c r="C18" s="59"/>
      <c r="D18" s="59"/>
      <c r="E18" s="59"/>
    </row>
    <row r="19" spans="2:5" x14ac:dyDescent="0.3">
      <c r="B19" s="59"/>
      <c r="C19" s="59"/>
      <c r="D19" s="59"/>
      <c r="E19" s="59"/>
    </row>
  </sheetData>
  <mergeCells count="5">
    <mergeCell ref="B12:E19"/>
    <mergeCell ref="B1:C1"/>
    <mergeCell ref="H1:I1"/>
    <mergeCell ref="F1:G1"/>
    <mergeCell ref="D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CC Excel" ma:contentTypeID="0x0101003D99FF4BEE06314F802DDB72832DC48E0300A7B091DCFD04BF42BF1D742BD0C53F9B" ma:contentTypeVersion="7" ma:contentTypeDescription="" ma:contentTypeScope="" ma:versionID="4e2e0b73ba475ebb93cfca09d72718ab">
  <xsd:schema xmlns:xsd="http://www.w3.org/2001/XMLSchema" xmlns:xs="http://www.w3.org/2001/XMLSchema" xmlns:p="http://schemas.microsoft.com/office/2006/metadata/properties" xmlns:ns2="1f4a6b01-e40e-46b3-9989-096fac0bb3de" xmlns:ns3="aa87dded-092f-4307-b3af-6f24a9f5fab6" targetNamespace="http://schemas.microsoft.com/office/2006/metadata/properties" ma:root="true" ma:fieldsID="444255f731729cf7300be588610953da" ns2:_="" ns3:_="">
    <xsd:import namespace="1f4a6b01-e40e-46b3-9989-096fac0bb3de"/>
    <xsd:import namespace="aa87dded-092f-4307-b3af-6f24a9f5fab6"/>
    <xsd:element name="properties">
      <xsd:complexType>
        <xsd:sequence>
          <xsd:element name="documentManagement">
            <xsd:complexType>
              <xsd:all>
                <xsd:element ref="ns2:DCCDepartmentTaxHTField0" minOccurs="0"/>
                <xsd:element ref="ns2:SmartDCCSecurityClassificationTaxHTField0" minOccurs="0"/>
                <xsd:element ref="ns2:DCCReleaseTaxHTField0" minOccurs="0"/>
                <xsd:element ref="ns2:DCCDocumentStatusTaxHTField0" minOccurs="0"/>
                <xsd:element ref="ns2:SmartDCCDocumentTypeTaxHTField0"/>
                <xsd:element ref="ns2:TaxCatchAllLabel" minOccurs="0"/>
                <xsd:element ref="ns2:TaxCatchAll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a6b01-e40e-46b3-9989-096fac0bb3de" elementFormDefault="qualified">
    <xsd:import namespace="http://schemas.microsoft.com/office/2006/documentManagement/types"/>
    <xsd:import namespace="http://schemas.microsoft.com/office/infopath/2007/PartnerControls"/>
    <xsd:element name="DCCDepartmentTaxHTField0" ma:index="8" ma:taxonomy="true" ma:internalName="DCCDepartmentTaxHTField0" ma:taxonomyFieldName="DCCDepartment" ma:displayName="Department" ma:readOnly="false" ma:default="" ma:fieldId="{b9f9ec24-0bfc-45a9-abdd-d8372c6d0d69}" ma:sspId="0e1c6c84-f403-4bbd-88d7-452781fd505b" ma:termSetId="0f91fb79-d7ea-4103-af5c-528c8aa72ce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martDCCSecurityClassificationTaxHTField0" ma:index="10" ma:taxonomy="true" ma:internalName="SmartDCCSecurityClassificationTaxHTField0" ma:taxonomyFieldName="SmartDCCSecurityClassification" ma:displayName="Security Classification" ma:readOnly="false" ma:default="" ma:fieldId="{3e43b1f9-0d18-44d2-bac5-2e9e8a2947a1}" ma:sspId="0e1c6c84-f403-4bbd-88d7-452781fd505b" ma:termSetId="59549b20-0bdd-481f-91a7-af2e6fd7919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CCReleaseTaxHTField0" ma:index="12" nillable="true" ma:taxonomy="true" ma:internalName="DCCReleaseTaxHTField0" ma:taxonomyFieldName="DCCRelease" ma:displayName="Release" ma:default="" ma:fieldId="{0b72bca7-9f10-45b0-9533-710b1462c703}" ma:sspId="0e1c6c84-f403-4bbd-88d7-452781fd505b" ma:termSetId="36c335b6-936d-4a43-84c0-b60786099de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CCDocumentStatusTaxHTField0" ma:index="14" ma:taxonomy="true" ma:internalName="DCCDocumentStatusTaxHTField0" ma:taxonomyFieldName="DCCDocumentStatus" ma:displayName="Document Status" ma:readOnly="false" ma:default="" ma:fieldId="{f5f46dc2-fe38-46ff-9a0e-9e05826f4b0d}" ma:sspId="0e1c6c84-f403-4bbd-88d7-452781fd505b" ma:termSetId="ebae76e0-a2da-4e00-b8fe-cb90c59b09b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martDCCDocumentTypeTaxHTField0" ma:index="16" ma:taxonomy="true" ma:internalName="SmartDCCDocumentTypeTaxHTField0" ma:taxonomyFieldName="SmartDCCDocumentType" ma:displayName="Document Type" ma:readOnly="false" ma:default="" ma:fieldId="{6411331f-21b0-45cd-a1f2-c0d9013dd4f1}" ma:taxonomyMulti="true" ma:sspId="0e1c6c84-f403-4bbd-88d7-452781fd505b" ma:termSetId="07111426-f3e4-4c85-84d5-b8db9132d47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ed86e3a9-e29d-4e17-a330-0d644817c77e}" ma:internalName="TaxCatchAllLabel" ma:readOnly="true" ma:showField="CatchAllDataLabel" ma:web="1f4a6b01-e40e-46b3-9989-096fac0bb3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19" nillable="true" ma:displayName="Taxonomy Catch All Column" ma:hidden="true" ma:list="{ed86e3a9-e29d-4e17-a330-0d644817c77e}" ma:internalName="TaxCatchAll" ma:showField="CatchAllData" ma:web="1f4a6b01-e40e-46b3-9989-096fac0bb3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7dded-092f-4307-b3af-6f24a9f5fab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3" nillable="true" ma:displayName="Image Tags_0" ma:hidden="true" ma:internalName="lcf76f155ced4ddcb4097134ff3c332f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CCDocumentStatusTaxHTField0 xmlns="1f4a6b01-e40e-46b3-9989-096fac0bb3de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c06905f3-494c-4038-855b-e81c92da360b</TermId>
        </TermInfo>
      </Terms>
    </DCCDocumentStatusTaxHTField0>
    <DCCDepartmentTaxHTField0 xmlns="1f4a6b01-e40e-46b3-9989-096fac0bb3de">
      <Terms xmlns="http://schemas.microsoft.com/office/infopath/2007/PartnerControls">
        <TermInfo xmlns="http://schemas.microsoft.com/office/infopath/2007/PartnerControls">
          <TermName xmlns="http://schemas.microsoft.com/office/infopath/2007/PartnerControls">CTO</TermName>
          <TermId xmlns="http://schemas.microsoft.com/office/infopath/2007/PartnerControls">25a330eb-5233-40bf-b777-4d83a6dd719a</TermId>
        </TermInfo>
      </Terms>
    </DCCDepartmentTaxHTField0>
    <TaxCatchAll xmlns="1f4a6b01-e40e-46b3-9989-096fac0bb3de">
      <Value>20</Value>
      <Value>23</Value>
      <Value>2</Value>
      <Value>11</Value>
    </TaxCatchAll>
    <DCCReleaseTaxHTField0 xmlns="1f4a6b01-e40e-46b3-9989-096fac0bb3de">
      <Terms xmlns="http://schemas.microsoft.com/office/infopath/2007/PartnerControls"/>
    </DCCReleaseTaxHTField0>
    <SmartDCCDocumentTypeTaxHTField0 xmlns="1f4a6b01-e40e-46b3-9989-096fac0bb3de">
      <Terms xmlns="http://schemas.microsoft.com/office/infopath/2007/PartnerControls">
        <TermInfo xmlns="http://schemas.microsoft.com/office/infopath/2007/PartnerControls">
          <TermName xmlns="http://schemas.microsoft.com/office/infopath/2007/PartnerControls">Detailed Design</TermName>
          <TermId xmlns="http://schemas.microsoft.com/office/infopath/2007/PartnerControls">a8dc4bb4-b1cc-42e4-9ba4-17795e340cf8</TermId>
        </TermInfo>
      </Terms>
    </SmartDCCDocumentTypeTaxHTField0>
    <SmartDCCSecurityClassificationTaxHTField0 xmlns="1f4a6b01-e40e-46b3-9989-096fac0bb3de">
      <Terms xmlns="http://schemas.microsoft.com/office/infopath/2007/PartnerControls">
        <TermInfo xmlns="http://schemas.microsoft.com/office/infopath/2007/PartnerControls">
          <TermName xmlns="http://schemas.microsoft.com/office/infopath/2007/PartnerControls">DCC Controlled</TermName>
          <TermId xmlns="http://schemas.microsoft.com/office/infopath/2007/PartnerControls">acf3b25a-0f54-496a-874b-0b3cadfe1240</TermId>
        </TermInfo>
      </Terms>
    </SmartDCCSecurityClassificationTaxHTField0>
    <lcf76f155ced4ddcb4097134ff3c332f xmlns="aa87dded-092f-4307-b3af-6f24a9f5fab6" xsi:nil="true"/>
    <_dlc_DocId xmlns="1f4a6b01-e40e-46b3-9989-096fac0bb3de">ENJP6QQXSKR6-670089392-13335</_dlc_DocId>
    <_dlc_DocIdUrl xmlns="1f4a6b01-e40e-46b3-9989-096fac0bb3de">
      <Url>https://smartdcc.sharepoint.com/sites/TestAutomationSuppliercollaborationfolder/_layouts/15/DocIdRedir.aspx?ID=ENJP6QQXSKR6-670089392-13335</Url>
      <Description>ENJP6QQXSKR6-670089392-13335</Description>
    </_dlc_DocIdUrl>
  </documentManagement>
</p:properties>
</file>

<file path=customXml/itemProps1.xml><?xml version="1.0" encoding="utf-8"?>
<ds:datastoreItem xmlns:ds="http://schemas.openxmlformats.org/officeDocument/2006/customXml" ds:itemID="{CDCA4417-FC08-41E2-922A-7D2365F95C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4a6b01-e40e-46b3-9989-096fac0bb3de"/>
    <ds:schemaRef ds:uri="aa87dded-092f-4307-b3af-6f24a9f5fa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577C64-7AD5-4A4D-B1F6-80571045D4D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87A68E2-0D39-4FFD-9FFF-96760CCD1EC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7DBD907-C61B-4FF3-8142-FE98F5F5F3C1}">
  <ds:schemaRefs>
    <ds:schemaRef ds:uri="aa87dded-092f-4307-b3af-6f24a9f5fab6"/>
    <ds:schemaRef ds:uri="http://purl.org/dc/elements/1.1/"/>
    <ds:schemaRef ds:uri="http://schemas.microsoft.com/office/2006/documentManagement/types"/>
    <ds:schemaRef ds:uri="http://schemas.microsoft.com/office/2006/metadata/properties"/>
    <ds:schemaRef ds:uri="1f4a6b01-e40e-46b3-9989-096fac0bb3d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Org Setup</vt:lpstr>
      <vt:lpstr>MPAN Data</vt:lpstr>
      <vt:lpstr>MPRN Data</vt:lpstr>
      <vt:lpstr>URLs</vt:lpstr>
      <vt:lpstr>Registration Data Template</vt:lpstr>
      <vt:lpstr>Org Cert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Day, Matt (DCC)</dc:creator>
  <cp:keywords/>
  <dc:description/>
  <cp:lastModifiedBy>alex szarko</cp:lastModifiedBy>
  <cp:revision/>
  <dcterms:created xsi:type="dcterms:W3CDTF">2024-08-05T14:15:33Z</dcterms:created>
  <dcterms:modified xsi:type="dcterms:W3CDTF">2026-08-28T12:17:03Z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2b8bca-8558-4eb0-9160-cb4de095652d_Enabled">
    <vt:lpwstr>true</vt:lpwstr>
  </property>
  <property fmtid="{D5CDD505-2E9C-101B-9397-08002B2CF9AE}" pid="3" name="MSIP_Label_8a2b8bca-8558-4eb0-9160-cb4de095652d_SetDate">
    <vt:lpwstr>2024-08-05T14:25:48Z</vt:lpwstr>
  </property>
  <property fmtid="{D5CDD505-2E9C-101B-9397-08002B2CF9AE}" pid="4" name="MSIP_Label_8a2b8bca-8558-4eb0-9160-cb4de095652d_Method">
    <vt:lpwstr>Privileged</vt:lpwstr>
  </property>
  <property fmtid="{D5CDD505-2E9C-101B-9397-08002B2CF9AE}" pid="5" name="MSIP_Label_8a2b8bca-8558-4eb0-9160-cb4de095652d_Name">
    <vt:lpwstr>DCC_Controlled</vt:lpwstr>
  </property>
  <property fmtid="{D5CDD505-2E9C-101B-9397-08002B2CF9AE}" pid="6" name="MSIP_Label_8a2b8bca-8558-4eb0-9160-cb4de095652d_SiteId">
    <vt:lpwstr>d77ea84a-f7fd-4928-b8a3-64763b0a7710</vt:lpwstr>
  </property>
  <property fmtid="{D5CDD505-2E9C-101B-9397-08002B2CF9AE}" pid="7" name="MSIP_Label_8a2b8bca-8558-4eb0-9160-cb4de095652d_ActionId">
    <vt:lpwstr>2103663f-e649-4078-aba3-1199db91a1a0</vt:lpwstr>
  </property>
  <property fmtid="{D5CDD505-2E9C-101B-9397-08002B2CF9AE}" pid="8" name="MSIP_Label_8a2b8bca-8558-4eb0-9160-cb4de095652d_ContentBits">
    <vt:lpwstr>3</vt:lpwstr>
  </property>
  <property fmtid="{D5CDD505-2E9C-101B-9397-08002B2CF9AE}" pid="9" name="ContentTypeId">
    <vt:lpwstr>0x0101003D99FF4BEE06314F802DDB72832DC48E0300A7B091DCFD04BF42BF1D742BD0C53F9B</vt:lpwstr>
  </property>
  <property fmtid="{D5CDD505-2E9C-101B-9397-08002B2CF9AE}" pid="10" name="DCCDocumentStatus">
    <vt:lpwstr>23;#Draft|c06905f3-494c-4038-855b-e81c92da360b</vt:lpwstr>
  </property>
  <property fmtid="{D5CDD505-2E9C-101B-9397-08002B2CF9AE}" pid="11" name="SmartDCCDocumentType">
    <vt:lpwstr>11;#Detailed Design|a8dc4bb4-b1cc-42e4-9ba4-17795e340cf8</vt:lpwstr>
  </property>
  <property fmtid="{D5CDD505-2E9C-101B-9397-08002B2CF9AE}" pid="12" name="SmartDCCSecurityClassification">
    <vt:lpwstr>2;#DCC Controlled|acf3b25a-0f54-496a-874b-0b3cadfe1240</vt:lpwstr>
  </property>
  <property fmtid="{D5CDD505-2E9C-101B-9397-08002B2CF9AE}" pid="13" name="DCCRelease">
    <vt:lpwstr/>
  </property>
  <property fmtid="{D5CDD505-2E9C-101B-9397-08002B2CF9AE}" pid="14" name="DCCDepartment">
    <vt:lpwstr>20;#CTO|25a330eb-5233-40bf-b777-4d83a6dd719a</vt:lpwstr>
  </property>
  <property fmtid="{D5CDD505-2E9C-101B-9397-08002B2CF9AE}" pid="15" name="_dlc_DocIdItemGuid">
    <vt:lpwstr>f11dde44-2a5b-413d-9dda-b4da5c6470ec</vt:lpwstr>
  </property>
  <property fmtid="{D5CDD505-2E9C-101B-9397-08002B2CF9AE}" pid="16" name="MediaServiceImageTags">
    <vt:lpwstr/>
  </property>
</Properties>
</file>